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cb639c50b47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🏠 INÍCIO" sheetId="1" r:id="Rc38b6198e3a84c24"/>
    <x:sheet xmlns:r="http://schemas.openxmlformats.org/officeDocument/2006/relationships" name="🌀 IPS-20 Scores" sheetId="2" r:id="R64d25834f9314ce9"/>
    <x:sheet xmlns:r="http://schemas.openxmlformats.org/officeDocument/2006/relationships" name="💪 GSES Scores" sheetId="3" r:id="R873ae98c9f0d4d12"/>
    <x:sheet xmlns:r="http://schemas.openxmlformats.org/officeDocument/2006/relationships" name="📥 DADOS BRUTOS" sheetId="4" r:id="Rd8fd89ee5c7b4e99"/>
    <x:sheet xmlns:r="http://schemas.openxmlformats.org/officeDocument/2006/relationships" name="🧠 FFMQ Scores" sheetId="5" r:id="Rb122d0a394204648"/>
    <x:sheet xmlns:r="http://schemas.openxmlformats.org/officeDocument/2006/relationships" name="🧮 MAIA-2 Scores" sheetId="6" r:id="R5811fedce3c5415a"/>
    <x:sheet xmlns:r="http://schemas.openxmlformats.org/officeDocument/2006/relationships" name="📝 Forms Setup" sheetId="7" r:id="Rc92d81fcb4df4a9d"/>
    <x:sheet xmlns:r="http://schemas.openxmlformats.org/officeDocument/2006/relationships" name="📋 Banco de Dados" sheetId="8" r:id="Rb3bf8c20369b431b"/>
    <x:sheet xmlns:r="http://schemas.openxmlformats.org/officeDocument/2006/relationships" name="📊 Dashboard S1-S4-S8" sheetId="9" r:id="R4eb434b9350a4aac"/>
    <x:sheet xmlns:r="http://schemas.openxmlformats.org/officeDocument/2006/relationships" name="📈 Evolução Paciente" sheetId="10" r:id="R7e278645bf414a27"/>
    <x:sheet xmlns:r="http://schemas.openxmlformats.org/officeDocument/2006/relationships" name="📊 Dashboard Consultório" sheetId="11" r:id="R2da7492919cb490f"/>
  </x:sheets>
</x:workbook>
</file>

<file path=xl/sharedStrings.xml><?xml version="1.0" encoding="utf-8"?>
<x:sst xmlns:x="http://schemas.openxmlformats.org/spreadsheetml/2006/main">
  <x:si>
    <x:t xml:space="preserve">Avaliação de Interocepção e Mindfulness — MAIA-2 + FFMQ-BR</x:t>
  </x:si>
  <x:si>
    <x:t xml:space="preserve">ABA</x:t>
  </x:si>
  <x:si>
    <x:t xml:space="preserve">FUNÇÃO</x:t>
  </x:si>
  <x:si>
    <x:t xml:space="preserve">USO</x:t>
  </x:si>
  <x:si>
    <x:t xml:space="preserve">📥 DADOS BRUTOS</x:t>
  </x:si>
  <x:si>
    <x:t xml:space="preserve">Entrada de dados por participante e sessão</x:t>
  </x:si>
  <x:si>
    <x:t xml:space="preserve">Colar dados exportados do Google Forms</x:t>
  </x:si>
  <x:si>
    <x:t xml:space="preserve">🧮 MAIA-2 Scores</x:t>
  </x:si>
  <x:si>
    <x:t xml:space="preserve">Cálculo automático das 8 subescalas MAIA-2</x:t>
  </x:si>
  <x:si>
    <x:t xml:space="preserve">Fórmulas automáticas — não editar</x:t>
  </x:si>
  <x:si>
    <x:t xml:space="preserve">🧠 FFMQ Scores</x:t>
  </x:si>
  <x:si>
    <x:t xml:space="preserve">Cálculo automático das 5 facetas FFMQ-BR</x:t>
  </x:si>
  <x:si>
    <x:t xml:space="preserve">📊 Dashboard S1-S4-S8</x:t>
  </x:si>
  <x:si>
    <x:t xml:space="preserve">Evolução temporal e comparação entre grupos</x:t>
  </x:si>
  <x:si>
    <x:t xml:space="preserve">Visualização dos resultados</x:t>
  </x:si>
  <x:si>
    <x:t xml:space="preserve">📋 Banco de Dados</x:t>
  </x:si>
  <x:si>
    <x:t xml:space="preserve">Tabela final para exportação SPSS/R/Jamovi</x:t>
  </x:si>
  <x:si>
    <x:t xml:space="preserve">Copiar para análise estatística</x:t>
  </x:si>
  <x:si>
    <x:t xml:space="preserve">📝 Forms Setup</x:t>
  </x:si>
  <x:si>
    <x:t xml:space="preserve">Script e estrutura do Google Forms</x:t>
  </x:si>
  <x:si>
    <x:t xml:space="preserve">Referência para configuração</x:t>
  </x:si>
  <x:si>
    <x:t xml:space="preserve">FLUXO DE TRABALHO</x:t>
  </x:si>
  <x:si>
    <x:t xml:space="preserve">PASSO 1</x:t>
  </x:si>
  <x:si>
    <x:t xml:space="preserve">Configure o Google Forms conforme a aba '📝 Forms Setup'</x:t>
  </x:si>
  <x:si>
    <x:t xml:space="preserve">PASSO 2</x:t>
  </x:si>
  <x:si>
    <x:t xml:space="preserve">Cole as respostas na aba '📥 DADOS BRUTOS' (exportar CSV do Forms e colar)</x:t>
  </x:si>
  <x:si>
    <x:t xml:space="preserve">PASSO 3</x:t>
  </x:si>
  <x:si>
    <x:t xml:space="preserve">Os scores MAIA-2 e FFMQ são calculados automaticamente</x:t>
  </x:si>
  <x:si>
    <x:t xml:space="preserve">PASSO 4</x:t>
  </x:si>
  <x:si>
    <x:t xml:space="preserve">O Dashboard S1→S4→S8 atualiza automaticamente</x:t>
  </x:si>
  <x:si>
    <x:t xml:space="preserve">PASSO 5</x:t>
  </x:si>
  <x:si>
    <x:t xml:space="preserve">Exporte a aba 'Banco de Dados' para SPSS/R/Jamovi</x:t>
  </x:si>
  <x:si>
    <x:t xml:space="preserve">IDENTIFICAÇÃO</x:t>
  </x:si>
  <x:si>
    <x:t xml:space="preserve">DOMÍNIOS IPS-20 (somatório 0–20 cada)</x:t>
  </x:si>
  <x:si>
    <x:t xml:space="preserve">ESCORE TOTAL &amp; PERFIL</x:t>
  </x:si>
  <x:si>
    <x:t xml:space="preserve">Código</x:t>
  </x:si>
  <x:si>
    <x:t xml:space="preserve">Sessão</x:t>
  </x:si>
  <x:si>
    <x:t xml:space="preserve">Data</x:t>
  </x:si>
  <x:si>
    <x:t xml:space="preserve">Corpo</x:t>
  </x:si>
  <x:si>
    <x:t xml:space="preserve">Emoção</x:t>
  </x:si>
  <x:si>
    <x:t xml:space="preserve">Pensamento</x:t>
  </x:si>
  <x:si>
    <x:t xml:space="preserve">Escolha</x:t>
  </x:si>
  <x:si>
    <x:t xml:space="preserve">Integração</x:t>
  </x:si>
  <x:si>
    <x:t xml:space="preserve">Total
(0–100)</x:t>
  </x:si>
  <x:si>
    <x:t xml:space="preserve">Perfil IPS</x:t>
  </x:si>
  <x:si>
    <x:t xml:space="preserve">MÉDIAS POR SESSÃO</x:t>
  </x:si>
  <x:si>
    <x:t xml:space="preserve">Domínio / Escore</x:t>
  </x:si>
  <x:si>
    <x:t xml:space="preserve">S1</x:t>
  </x:si>
  <x:si>
    <x:t xml:space="preserve">S4</x:t>
  </x:si>
  <x:si>
    <x:t xml:space="preserve">S8</x:t>
  </x:si>
  <x:si>
    <x:t xml:space="preserve">Δ S1→S8</x:t>
  </x:si>
  <x:si>
    <x:t xml:space="preserve">TOTAL IPS</x:t>
  </x:si>
  <x:si>
    <x:t xml:space="preserve">DISTRIBUIÇÃO DO PERFIL IPS POR SESSÃO</x:t>
  </x:si>
  <x:si>
    <x:t xml:space="preserve">Perfil</x:t>
  </x:si>
  <x:si>
    <x:t xml:space="preserve">n S1</x:t>
  </x:si>
  <x:si>
    <x:t xml:space="preserve">n S4</x:t>
  </x:si>
  <x:si>
    <x:t xml:space="preserve">n S8</x:t>
  </x:si>
  <x:si>
    <x:t xml:space="preserve">% S1</x:t>
  </x:si>
  <x:si>
    <x:t xml:space="preserve">% S4</x:t>
  </x:si>
  <x:si>
    <x:t xml:space="preserve">% S8</x:t>
  </x:si>
  <x:si>
    <x:t xml:space="preserve">Desconectado</x:t>
  </x:si>
  <x:si>
    <x:t xml:space="preserve">Despertando</x:t>
  </x:si>
  <x:si>
    <x:t xml:space="preserve">Emergente</x:t>
  </x:si>
  <x:si>
    <x:t xml:space="preserve">Integrado</x:t>
  </x:si>
  <x:si>
    <x:t xml:space="preserve">Corporificado</x:t>
  </x:si>
  <x:si>
    <x:t xml:space="preserve">GSES — Autoeficácia Geral</x:t>
  </x:si>
  <x:si>
    <x:t xml:space="preserve">Escore Total
(10–40)</x:t>
  </x:si>
  <x:si>
    <x:t xml:space="preserve">MÉDIAS GSES POR SESSÃO</x:t>
  </x:si>
  <x:si>
    <x:t xml:space="preserve">Métrica</x:t>
  </x:si>
  <x:si>
    <x:t xml:space="preserve">Escore Médio</x:t>
  </x:si>
  <x:si>
    <x:t xml:space="preserve">ITENS DA ESCALA GSES-10</x:t>
  </x:si>
  <x:si>
    <x:t xml:space="preserve">Item</x:t>
  </x:si>
  <x:si>
    <x:t xml:space="preserve">Texto</x:t>
  </x:si>
  <x:si>
    <x:t xml:space="preserve">G1</x:t>
  </x:si>
  <x:si>
    <x:t xml:space="preserve">Consigo sempre resolver os problemas difíceis se me esforçar bastante.</x:t>
  </x:si>
  <x:si>
    <x:t xml:space="preserve">G2</x:t>
  </x:si>
  <x:si>
    <x:t xml:space="preserve">Se alguém me bloquear, encontro meios de alcançar o que quero.</x:t>
  </x:si>
  <x:si>
    <x:t xml:space="preserve">G3</x:t>
  </x:si>
  <x:si>
    <x:t xml:space="preserve">É fácil para mim aferrar-me às minhas intenções e atingir os meus objetivos.</x:t>
  </x:si>
  <x:si>
    <x:t xml:space="preserve">G4</x:t>
  </x:si>
  <x:si>
    <x:t xml:space="preserve">Estou confiante que poderia lidar eficientemente com eventos inesperados.</x:t>
  </x:si>
  <x:si>
    <x:t xml:space="preserve">G5</x:t>
  </x:si>
  <x:si>
    <x:t xml:space="preserve">Graças aos meus recursos, sei como lidar com situações imprevistas.</x:t>
  </x:si>
  <x:si>
    <x:t xml:space="preserve">G6</x:t>
  </x:si>
  <x:si>
    <x:t xml:space="preserve">Posso resolver a maioria dos problemas se investir o esforço necessário.</x:t>
  </x:si>
  <x:si>
    <x:t xml:space="preserve">G7</x:t>
  </x:si>
  <x:si>
    <x:t xml:space="preserve">Posso manter a calma ao enfrentar dificuldades, pois posso contar com minhas habilidades.</x:t>
  </x:si>
  <x:si>
    <x:t xml:space="preserve">G8</x:t>
  </x:si>
  <x:si>
    <x:t xml:space="preserve">Quando enfrento um problema, geralmente consigo encontrar várias soluções.</x:t>
  </x:si>
  <x:si>
    <x:t xml:space="preserve">G9</x:t>
  </x:si>
  <x:si>
    <x:t xml:space="preserve">Se estiver com problemas, geralmente consigo pensar em algo para fazer.</x:t>
  </x:si>
  <x:si>
    <x:t xml:space="preserve">G10</x:t>
  </x:si>
  <x:si>
    <x:t xml:space="preserve">Quando tenho que enfrentar algo, geralmente consigo pensar em algo para fazer.</x:t>
  </x:si>
  <x:si>
    <x:t xml:space="preserve">MAIA-2 (37 itens — 0 a 5)</x:t>
  </x:si>
  <x:si>
    <x:t xml:space="preserve">FFMQ-BR (39 itens — 1 a 5)</x:t>
  </x:si>
  <x:si>
    <x:t xml:space="preserve">IPS-20 — Corporificação (0–5)</x:t>
  </x:si>
  <x:si>
    <x:t xml:space="preserve">GSES (1–4)</x:t>
  </x:si>
  <x:si>
    <x:t xml:space="preserve">Sessão (S1/S4/S8)</x:t>
  </x:si>
  <x:si>
    <x:t xml:space="preserve">M1
</x:t>
  </x:si>
  <x:si>
    <x:t xml:space="preserve">M2
</x:t>
  </x:si>
  <x:si>
    <x:t xml:space="preserve">M3
</x:t>
  </x:si>
  <x:si>
    <x:t xml:space="preserve">M4
</x:t>
  </x:si>
  <x:si>
    <x:t xml:space="preserve">M5
↺</x:t>
  </x:si>
  <x:si>
    <x:t xml:space="preserve">M6
↺</x:t>
  </x:si>
  <x:si>
    <x:t xml:space="preserve">M7
↺</x:t>
  </x:si>
  <x:si>
    <x:t xml:space="preserve">M8
↺</x:t>
  </x:si>
  <x:si>
    <x:t xml:space="preserve">M9
↺</x:t>
  </x:si>
  <x:si>
    <x:t xml:space="preserve">M10
↺</x:t>
  </x:si>
  <x:si>
    <x:t xml:space="preserve">M11
↺</x:t>
  </x:si>
  <x:si>
    <x:t xml:space="preserve">M12
↺</x:t>
  </x:si>
  <x:si>
    <x:t xml:space="preserve">M13
</x:t>
  </x:si>
  <x:si>
    <x:t xml:space="preserve">M14
</x:t>
  </x:si>
  <x:si>
    <x:t xml:space="preserve">M15
↺</x:t>
  </x:si>
  <x:si>
    <x:t xml:space="preserve">M16
</x:t>
  </x:si>
  <x:si>
    <x:t xml:space="preserve">M17
</x:t>
  </x:si>
  <x:si>
    <x:t xml:space="preserve">M18
</x:t>
  </x:si>
  <x:si>
    <x:t xml:space="preserve">M19
</x:t>
  </x:si>
  <x:si>
    <x:t xml:space="preserve">M20
</x:t>
  </x:si>
  <x:si>
    <x:t xml:space="preserve">M21
</x:t>
  </x:si>
  <x:si>
    <x:t xml:space="preserve">M22
</x:t>
  </x:si>
  <x:si>
    <x:t xml:space="preserve">M23
</x:t>
  </x:si>
  <x:si>
    <x:t xml:space="preserve">M24
</x:t>
  </x:si>
  <x:si>
    <x:t xml:space="preserve">M25
</x:t>
  </x:si>
  <x:si>
    <x:t xml:space="preserve">M26
</x:t>
  </x:si>
  <x:si>
    <x:t xml:space="preserve">M27
</x:t>
  </x:si>
  <x:si>
    <x:t xml:space="preserve">M28
</x:t>
  </x:si>
  <x:si>
    <x:t xml:space="preserve">M29
</x:t>
  </x:si>
  <x:si>
    <x:t xml:space="preserve">M30
</x:t>
  </x:si>
  <x:si>
    <x:t xml:space="preserve">M31
</x:t>
  </x:si>
  <x:si>
    <x:t xml:space="preserve">M32
</x:t>
  </x:si>
  <x:si>
    <x:t xml:space="preserve">M33
</x:t>
  </x:si>
  <x:si>
    <x:t xml:space="preserve">M34
</x:t>
  </x:si>
  <x:si>
    <x:t xml:space="preserve">M35
</x:t>
  </x:si>
  <x:si>
    <x:t xml:space="preserve">M36
</x:t>
  </x:si>
  <x:si>
    <x:t xml:space="preserve">M37
</x:t>
  </x:si>
  <x:si>
    <x:t xml:space="preserve">F1
</x:t>
  </x:si>
  <x:si>
    <x:t xml:space="preserve">F2
</x:t>
  </x:si>
  <x:si>
    <x:t xml:space="preserve">F3
↺</x:t>
  </x:si>
  <x:si>
    <x:t xml:space="preserve">F4
↺</x:t>
  </x:si>
  <x:si>
    <x:t xml:space="preserve">F5
</x:t>
  </x:si>
  <x:si>
    <x:t xml:space="preserve">F6
</x:t>
  </x:si>
  <x:si>
    <x:t xml:space="preserve">F7
</x:t>
  </x:si>
  <x:si>
    <x:t xml:space="preserve">F8
↺</x:t>
  </x:si>
  <x:si>
    <x:t xml:space="preserve">F9
↺</x:t>
  </x:si>
  <x:si>
    <x:t xml:space="preserve">F10
↺</x:t>
  </x:si>
  <x:si>
    <x:t xml:space="preserve">F11
</x:t>
  </x:si>
  <x:si>
    <x:t xml:space="preserve">F12
↺</x:t>
  </x:si>
  <x:si>
    <x:t xml:space="preserve">F13
↺</x:t>
  </x:si>
  <x:si>
    <x:t xml:space="preserve">F14
</x:t>
  </x:si>
  <x:si>
    <x:t xml:space="preserve">F15
↺</x:t>
  </x:si>
  <x:si>
    <x:t xml:space="preserve">F16
↺</x:t>
  </x:si>
  <x:si>
    <x:t xml:space="preserve">F17
↺</x:t>
  </x:si>
  <x:si>
    <x:t xml:space="preserve">F18
↺</x:t>
  </x:si>
  <x:si>
    <x:t xml:space="preserve">F19
</x:t>
  </x:si>
  <x:si>
    <x:t xml:space="preserve">F20
</x:t>
  </x:si>
  <x:si>
    <x:t xml:space="preserve">F21
↺</x:t>
  </x:si>
  <x:si>
    <x:t xml:space="preserve">F22
↺</x:t>
  </x:si>
  <x:si>
    <x:t xml:space="preserve">F23
</x:t>
  </x:si>
  <x:si>
    <x:t xml:space="preserve">F24
</x:t>
  </x:si>
  <x:si>
    <x:t xml:space="preserve">F25
↺</x:t>
  </x:si>
  <x:si>
    <x:t xml:space="preserve">F26
↺</x:t>
  </x:si>
  <x:si>
    <x:t xml:space="preserve">F27
</x:t>
  </x:si>
  <x:si>
    <x:t xml:space="preserve">F28
</x:t>
  </x:si>
  <x:si>
    <x:t xml:space="preserve">F29
</x:t>
  </x:si>
  <x:si>
    <x:t xml:space="preserve">F30
</x:t>
  </x:si>
  <x:si>
    <x:t xml:space="preserve">F31
</x:t>
  </x:si>
  <x:si>
    <x:t xml:space="preserve">F32
↺</x:t>
  </x:si>
  <x:si>
    <x:t xml:space="preserve">F33
↺</x:t>
  </x:si>
  <x:si>
    <x:t xml:space="preserve">F34
</x:t>
  </x:si>
  <x:si>
    <x:t xml:space="preserve">F35
↺</x:t>
  </x:si>
  <x:si>
    <x:t xml:space="preserve">F36
</x:t>
  </x:si>
  <x:si>
    <x:t xml:space="preserve">F37
↺</x:t>
  </x:si>
  <x:si>
    <x:t xml:space="preserve">F38
↺</x:t>
  </x:si>
  <x:si>
    <x:t xml:space="preserve">F39
</x:t>
  </x:si>
  <x:si>
    <x:t xml:space="preserve">I1</x:t>
  </x:si>
  <x:si>
    <x:t xml:space="preserve">I2</x:t>
  </x:si>
  <x:si>
    <x:t xml:space="preserve">I3</x:t>
  </x:si>
  <x:si>
    <x:t xml:space="preserve">I4</x:t>
  </x:si>
  <x:si>
    <x:t xml:space="preserve">I5</x:t>
  </x:si>
  <x:si>
    <x:t xml:space="preserve">I6</x:t>
  </x:si>
  <x:si>
    <x:t xml:space="preserve">I7</x:t>
  </x:si>
  <x:si>
    <x:t xml:space="preserve">I8</x:t>
  </x:si>
  <x:si>
    <x:t xml:space="preserve">I9</x:t>
  </x:si>
  <x:si>
    <x:t xml:space="preserve">I10</x:t>
  </x:si>
  <x:si>
    <x:t xml:space="preserve">I11</x:t>
  </x:si>
  <x:si>
    <x:t xml:space="preserve">I12</x:t>
  </x:si>
  <x:si>
    <x:t xml:space="preserve">I13</x:t>
  </x:si>
  <x:si>
    <x:t xml:space="preserve">I14</x:t>
  </x:si>
  <x:si>
    <x:t xml:space="preserve">I15</x:t>
  </x:si>
  <x:si>
    <x:t xml:space="preserve">I16</x:t>
  </x:si>
  <x:si>
    <x:t xml:space="preserve">I17</x:t>
  </x:si>
  <x:si>
    <x:t xml:space="preserve">I18</x:t>
  </x:si>
  <x:si>
    <x:t xml:space="preserve">I19</x:t>
  </x:si>
  <x:si>
    <x:t xml:space="preserve">I20</x:t>
  </x:si>
  <x:si>
    <x:t xml:space="preserve">FACETAS FFMQ-BR (1–5)</x:t>
  </x:si>
  <x:si>
    <x:t xml:space="preserve">TOTAL</x:t>
  </x:si>
  <x:si>
    <x:t xml:space="preserve">Observar</x:t>
  </x:si>
  <x:si>
    <x:t xml:space="preserve">Descrever</x:t>
  </x:si>
  <x:si>
    <x:t xml:space="preserve">Agir c/ Consciência</x:t>
  </x:si>
  <x:si>
    <x:t xml:space="preserve">Não Julgar</x:t>
  </x:si>
  <x:si>
    <x:t xml:space="preserve">Não Reagir</x:t>
  </x:si>
  <x:si>
    <x:t xml:space="preserve">FFMQ
Total</x:t>
  </x:si>
  <x:si>
    <x:t xml:space="preserve">FFMQ
Pontuação</x:t>
  </x:si>
  <x:si>
    <x:t xml:space="preserve">Faceta</x:t>
  </x:si>
  <x:si>
    <x:t xml:space="preserve">TOTAL FFMQ</x:t>
  </x:si>
  <x:si>
    <x:t xml:space="preserve">SUBESCALAS MAIA-2 (0–5)</x:t>
  </x:si>
  <x:si>
    <x:t xml:space="preserve">GLOBAL</x:t>
  </x:si>
  <x:si>
    <x:t xml:space="preserve">Noticing</x:t>
  </x:si>
  <x:si>
    <x:t xml:space="preserve">Not-Distracting</x:t>
  </x:si>
  <x:si>
    <x:t xml:space="preserve">Not-Worrying</x:t>
  </x:si>
  <x:si>
    <x:t xml:space="preserve">Attention Regulation</x:t>
  </x:si>
  <x:si>
    <x:t xml:space="preserve">Emotional Awareness</x:t>
  </x:si>
  <x:si>
    <x:t xml:space="preserve">Self-Regulation</x:t>
  </x:si>
  <x:si>
    <x:t xml:space="preserve">Body Listening</x:t>
  </x:si>
  <x:si>
    <x:t xml:space="preserve">Trusting</x:t>
  </x:si>
  <x:si>
    <x:t xml:space="preserve">Subescala</x:t>
  </x:si>
  <x:si>
    <x:t xml:space="preserve">TOTAL MAIA-2</x:t>
  </x:si>
  <x:si>
    <x:t xml:space="preserve">ESTRUTURA DO GOOGLE FORMS — PROMEV-IPS</x:t>
  </x:si>
  <x:si>
    <x:t xml:space="preserve">Seção</x:t>
  </x:si>
  <x:si>
    <x:t xml:space="preserve">Campo</x:t>
  </x:si>
  <x:si>
    <x:t xml:space="preserve">Tipo</x:t>
  </x:si>
  <x:si>
    <x:t xml:space="preserve">Subescala/Notas</x:t>
  </x:si>
  <x:si>
    <x:t xml:space="preserve">SEÇÃO</x:t>
  </x:si>
  <x:si>
    <x:t xml:space="preserve">CAMPO</x:t>
  </x:si>
  <x:si>
    <x:t xml:space="preserve">TEXTO / INSTRUÇÃO</x:t>
  </x:si>
  <x:si>
    <x:t xml:space="preserve">TIPO</x:t>
  </x:si>
  <x:si>
    <x:t xml:space="preserve">Título</x:t>
  </x:si>
  <x:si>
    <x:t xml:space="preserve">PROMEV-IPS — Avaliação de Bem-Estar</x:t>
  </x:si>
  <x:si>
    <x:t xml:space="preserve">Cabeçalho</x:t>
  </x:si>
  <x:si>
    <x:t xml:space="preserve">Desc</x:t>
  </x:si>
  <x:si>
    <x:t xml:space="preserve">Este formulário é parte do protocolo de pesquisa. Preencha todos os campos.</x:t>
  </x:si>
  <x:si>
    <x:t xml:space="preserve">Descrição</x:t>
  </x:si>
  <x:si>
    <x:t xml:space="preserve">SEÇÃO 1</x:t>
  </x:si>
  <x:si>
    <x:t xml:space="preserve">Identificação</x:t>
  </x:si>
  <x:si>
    <x:t xml:space="preserve">Nova Seção</x:t>
  </x:si>
  <x:si>
    <x:t xml:space="preserve">Q_ID</x:t>
  </x:si>
  <x:si>
    <x:t xml:space="preserve">Código do participante (ex: P001)</x:t>
  </x:si>
  <x:si>
    <x:t xml:space="preserve">Texto curto</x:t>
  </x:si>
  <x:si>
    <x:t xml:space="preserve">Obrigatório</x:t>
  </x:si>
  <x:si>
    <x:t xml:space="preserve">Q_SESS</x:t>
  </x:si>
  <x:si>
    <x:t xml:space="preserve">Lista suspensa: S1 / S4 / S8</x:t>
  </x:si>
  <x:si>
    <x:t xml:space="preserve">Q_DATA</x:t>
  </x:si>
  <x:si>
    <x:t xml:space="preserve">Data de hoje</x:t>
  </x:si>
  <x:si>
    <x:t xml:space="preserve">SEÇÃO 2</x:t>
  </x:si>
  <x:si>
    <x:t xml:space="preserve">MAIA-2 — Consciência Interoceptiva</x:t>
  </x:si>
  <x:si>
    <x:t xml:space="preserve">Instrução</x:t>
  </x:si>
  <x:si>
    <x:t xml:space="preserve">Por favor, avalie cada afirmação usando a escala: 0 = Nunca / 1 = Raramente / 2 = Às vezes / 3 = Metade das vezes / 4 = Frequentemente / 5 = Sempre</x:t>
  </x:si>
  <x:si>
    <x:t xml:space="preserve">M1</x:t>
  </x:si>
  <x:si>
    <x:t xml:space="preserve">1. Noto quando estou desconfortável</x:t>
  </x:si>
  <x:si>
    <x:t xml:space="preserve">Escala linear 0–5</x:t>
  </x:si>
  <x:si>
    <x:t xml:space="preserve">M2</x:t>
  </x:si>
  <x:si>
    <x:t xml:space="preserve">2. Noto quando estou confortável</x:t>
  </x:si>
  <x:si>
    <x:t xml:space="preserve">M3</x:t>
  </x:si>
  <x:si>
    <x:t xml:space="preserve">3. Noto mudanças na respiração</x:t>
  </x:si>
  <x:si>
    <x:t xml:space="preserve">M4</x:t>
  </x:si>
  <x:si>
    <x:t xml:space="preserve">4. Noto mudanças no corpo</x:t>
  </x:si>
  <x:si>
    <x:t xml:space="preserve">M5</x:t>
  </x:si>
  <x:si>
    <x:t xml:space="preserve">5. Não presto atenção à dor/desconforto [↺]</x:t>
  </x:si>
  <x:si>
    <x:t xml:space="preserve">M6</x:t>
  </x:si>
  <x:si>
    <x:t xml:space="preserve">6. Quando dói, tento ignorar [↺]</x:t>
  </x:si>
  <x:si>
    <x:t xml:space="preserve">M7</x:t>
  </x:si>
  <x:si>
    <x:t xml:space="preserve">7. Quando me preocupo, tento pensar em outro [↺]</x:t>
  </x:si>
  <x:si>
    <x:t xml:space="preserve">M8</x:t>
  </x:si>
  <x:si>
    <x:t xml:space="preserve">8. Ignoro sensações físicas de desconforto [↺]</x:t>
  </x:si>
  <x:si>
    <x:t xml:space="preserve">M9</x:t>
  </x:si>
  <x:si>
    <x:t xml:space="preserve">9. Distraio do desconforto [↺]</x:t>
  </x:si>
  <x:si>
    <x:t xml:space="preserve">M10</x:t>
  </x:si>
  <x:si>
    <x:t xml:space="preserve">10. Sinto que meu corpo é inimigo [↺]</x:t>
  </x:si>
  <x:si>
    <x:t xml:space="preserve">M11</x:t>
  </x:si>
  <x:si>
    <x:t xml:space="preserve">11. Me preocupo que algo está errado quando sinto dor [↺]</x:t>
  </x:si>
  <x:si>
    <x:t xml:space="preserve">M12</x:t>
  </x:si>
  <x:si>
    <x:t xml:space="preserve">12. Me preocupo com doenças ao sentir tensão [↺]</x:t>
  </x:si>
  <x:si>
    <x:t xml:space="preserve">M13</x:t>
  </x:si>
  <x:si>
    <x:t xml:space="preserve">13. Posso notar dor sem catastrofizar</x:t>
  </x:si>
  <x:si>
    <x:t xml:space="preserve">M14</x:t>
  </x:si>
  <x:si>
    <x:t xml:space="preserve">14. Noto sensações no corpo sem ansiedade</x:t>
  </x:si>
  <x:si>
    <x:t xml:space="preserve">M15</x:t>
  </x:si>
  <x:si>
    <x:t xml:space="preserve">15. Quando sinto pressão no peito, fico ansioso [↺]</x:t>
  </x:si>
  <x:si>
    <x:t xml:space="preserve">M16</x:t>
  </x:si>
  <x:si>
    <x:t xml:space="preserve">16. Consigo manter atenção nas sensações</x:t>
  </x:si>
  <x:si>
    <x:t xml:space="preserve">M17</x:t>
  </x:si>
  <x:si>
    <x:t xml:space="preserve">17. Posso focar em minha respiração</x:t>
  </x:si>
  <x:si>
    <x:t xml:space="preserve">M18</x:t>
  </x:si>
  <x:si>
    <x:t xml:space="preserve">18. Posso manter foco mesmo quando distraído</x:t>
  </x:si>
  <x:si>
    <x:t xml:space="preserve">M19</x:t>
  </x:si>
  <x:si>
    <x:t xml:space="preserve">19. Quando distraído, reconecto com sensações</x:t>
  </x:si>
  <x:si>
    <x:t xml:space="preserve">M20</x:t>
  </x:si>
  <x:si>
    <x:t xml:space="preserve">20. Retorno à consciência corporal após distração</x:t>
  </x:si>
  <x:si>
    <x:t xml:space="preserve">M21</x:t>
  </x:si>
  <x:si>
    <x:t xml:space="preserve">21. Posso me concentrar em partes específicas do corpo</x:t>
  </x:si>
  <x:si>
    <x:t xml:space="preserve">M22</x:t>
  </x:si>
  <x:si>
    <x:t xml:space="preserve">22. Posso notar sensações sem julgamento</x:t>
  </x:si>
  <x:si>
    <x:t xml:space="preserve">M23</x:t>
  </x:si>
  <x:si>
    <x:t xml:space="preserve">23. Noto conecção entre emoções e sensações</x:t>
  </x:si>
  <x:si>
    <x:t xml:space="preserve">M24</x:t>
  </x:si>
  <x:si>
    <x:t xml:space="preserve">24. Quando irritado, noto tensão muscular</x:t>
  </x:si>
  <x:si>
    <x:t xml:space="preserve">M25</x:t>
  </x:si>
  <x:si>
    <x:t xml:space="preserve">25. Noto que emoções estão no corpo</x:t>
  </x:si>
  <x:si>
    <x:t xml:space="preserve">M26</x:t>
  </x:si>
  <x:si>
    <x:t xml:space="preserve">26. Emoções aparecem como sensações físicas</x:t>
  </x:si>
  <x:si>
    <x:t xml:space="preserve">M27</x:t>
  </x:si>
  <x:si>
    <x:t xml:space="preserve">27. Noto mudanças na respiração com emoções</x:t>
  </x:si>
  <x:si>
    <x:t xml:space="preserve">M28</x:t>
  </x:si>
  <x:si>
    <x:t xml:space="preserve">28. Presto atenção às sensações para me acalmar</x:t>
  </x:si>
  <x:si>
    <x:t xml:space="preserve">M29</x:t>
  </x:si>
  <x:si>
    <x:t xml:space="preserve">29. Posso me acalmar prestando atenção ao corpo</x:t>
  </x:si>
  <x:si>
    <x:t xml:space="preserve">M30</x:t>
  </x:si>
  <x:si>
    <x:t xml:space="preserve">30. Quando perturbado, uso sensações para me tranquilizar</x:t>
  </x:si>
  <x:si>
    <x:t xml:space="preserve">M31</x:t>
  </x:si>
  <x:si>
    <x:t xml:space="preserve">31. Presto atenção ao corpo para regular emoções</x:t>
  </x:si>
  <x:si>
    <x:t xml:space="preserve">M32</x:t>
  </x:si>
  <x:si>
    <x:t xml:space="preserve">32. Escuto sinais do corpo para cuidar de mim</x:t>
  </x:si>
  <x:si>
    <x:t xml:space="preserve">M33</x:t>
  </x:si>
  <x:si>
    <x:t xml:space="preserve">33. Respeito os sinais do corpo</x:t>
  </x:si>
  <x:si>
    <x:t xml:space="preserve">M34</x:t>
  </x:si>
  <x:si>
    <x:t xml:space="preserve">34. O corpo me avisa quando preciso descansar</x:t>
  </x:si>
  <x:si>
    <x:t xml:space="preserve">M35</x:t>
  </x:si>
  <x:si>
    <x:t xml:space="preserve">35. Confio nas sensações corporais</x:t>
  </x:si>
  <x:si>
    <x:t xml:space="preserve">M36</x:t>
  </x:si>
  <x:si>
    <x:t xml:space="preserve">36. Sinto que o corpo é um lugar seguro</x:t>
  </x:si>
  <x:si>
    <x:t xml:space="preserve">M37</x:t>
  </x:si>
  <x:si>
    <x:t xml:space="preserve">37. Aprecio sinais do meu corpo</x:t>
  </x:si>
  <x:si>
    <x:t xml:space="preserve">SEÇÃO 3</x:t>
  </x:si>
  <x:si>
    <x:t xml:space="preserve">FFMQ-BR — Mindfulness</x:t>
  </x:si>
  <x:si>
    <x:t xml:space="preserve">Por favor, avalie usando: 1 = Nunca / 2 = Raramente / 3 = Às vezes / 4 = Frequentemente / 5 = Sempre</x:t>
  </x:si>
  <x:si>
    <x:t xml:space="preserve">F1</x:t>
  </x:si>
  <x:si>
    <x:t xml:space="preserve">1. Caminhando, noto as sensações do meu corpo</x:t>
  </x:si>
  <x:si>
    <x:t xml:space="preserve">Escala linear 1–5</x:t>
  </x:si>
  <x:si>
    <x:t xml:space="preserve">F2</x:t>
  </x:si>
  <x:si>
    <x:t xml:space="preserve">2. Encontro palavras para descrever sentimentos</x:t>
  </x:si>
  <x:si>
    <x:t xml:space="preserve">F3</x:t>
  </x:si>
  <x:si>
    <x:t xml:space="preserve">3. Critico a mim mesmo por ter emoções irracionais [↺]</x:t>
  </x:si>
  <x:si>
    <x:t xml:space="preserve">F4</x:t>
  </x:si>
  <x:si>
    <x:t xml:space="preserve">4. Percebo dificuldade de focar no presente [↺]</x:t>
  </x:si>
  <x:si>
    <x:t xml:space="preserve">Agir com Consciência</x:t>
  </x:si>
  <x:si>
    <x:t xml:space="preserve">F5</x:t>
  </x:si>
  <x:si>
    <x:t xml:space="preserve">5. Consigo colocar crenças em palavras</x:t>
  </x:si>
  <x:si>
    <x:t xml:space="preserve">F6</x:t>
  </x:si>
  <x:si>
    <x:t xml:space="preserve">6. Percebo cheiros e aromas das coisas</x:t>
  </x:si>
  <x:si>
    <x:t xml:space="preserve">F7</x:t>
  </x:si>
  <x:si>
    <x:t xml:space="preserve">7. Presto atenção às sensações como as de vento no rosto</x:t>
  </x:si>
  <x:si>
    <x:t xml:space="preserve">F8</x:t>
  </x:si>
  <x:si>
    <x:t xml:space="preserve">8. Dificuldade em encontrar palavras para sentimentos [↺]</x:t>
  </x:si>
  <x:si>
    <x:t xml:space="preserve">F9</x:t>
  </x:si>
  <x:si>
    <x:t xml:space="preserve">9. Faço atividades sem prestar atenção [↺]</x:t>
  </x:si>
  <x:si>
    <x:t xml:space="preserve">F10</x:t>
  </x:si>
  <x:si>
    <x:t xml:space="preserve">10. Digo a mim mesmo que não deveria sentir certas coisas [↺]</x:t>
  </x:si>
  <x:si>
    <x:t xml:space="preserve">F11</x:t>
  </x:si>
  <x:si>
    <x:t xml:space="preserve">11. Noto como os alimentos afetam meus pensamentos</x:t>
  </x:si>
  <x:si>
    <x:t xml:space="preserve">F12</x:t>
  </x:si>
  <x:si>
    <x:t xml:space="preserve">12. Fico no passado ou futuro facilmente [↺]</x:t>
  </x:si>
  <x:si>
    <x:t xml:space="preserve">F13</x:t>
  </x:si>
  <x:si>
    <x:t xml:space="preserve">13. Não devo ter certos pensamentos [↺]</x:t>
  </x:si>
  <x:si>
    <x:t xml:space="preserve">F14</x:t>
  </x:si>
  <x:si>
    <x:t xml:space="preserve">14. Percebo cheiros, sons, cores e texturas</x:t>
  </x:si>
  <x:si>
    <x:t xml:space="preserve">F15</x:t>
  </x:si>
  <x:si>
    <x:t xml:space="preserve">15. Quando conto um conto, não presto atenção ao que faço [↺]</x:t>
  </x:si>
  <x:si>
    <x:t xml:space="preserve">F16</x:t>
  </x:si>
  <x:si>
    <x:t xml:space="preserve">16. Ouço palestras sem perceber sobre o que são [↺]</x:t>
  </x:si>
  <x:si>
    <x:t xml:space="preserve">F17</x:t>
  </x:si>
  <x:si>
    <x:t xml:space="preserve">17. Tenho dificuldade de usar palavras para emoções [↺]</x:t>
  </x:si>
  <x:si>
    <x:t xml:space="preserve">F18</x:t>
  </x:si>
  <x:si>
    <x:t xml:space="preserve">18. Penso que estou fazendo coisas automaticamente [↺]</x:t>
  </x:si>
  <x:si>
    <x:t xml:space="preserve">F19</x:t>
  </x:si>
  <x:si>
    <x:t xml:space="preserve">19. Quando tenho pensamentos negativos, os ignoro</x:t>
  </x:si>
  <x:si>
    <x:t xml:space="preserve">F20</x:t>
  </x:si>
  <x:si>
    <x:t xml:space="preserve">20. Presto atenção a sons</x:t>
  </x:si>
  <x:si>
    <x:t xml:space="preserve">F21</x:t>
  </x:si>
  <x:si>
    <x:t xml:space="preserve">21. Faço julgamentos automáticos de sentimentos [↺]</x:t>
  </x:si>
  <x:si>
    <x:t xml:space="preserve">F22</x:t>
  </x:si>
  <x:si>
    <x:t xml:space="preserve">22. Não presto atenção ao que faço por estar distraído [↺]</x:t>
  </x:si>
  <x:si>
    <x:t xml:space="preserve">F23</x:t>
  </x:si>
  <x:si>
    <x:t xml:space="preserve">23. Quando tenho sentimentos difíceis, deixo passar</x:t>
  </x:si>
  <x:si>
    <x:t xml:space="preserve">F24</x:t>
  </x:si>
  <x:si>
    <x:t xml:space="preserve">24. Presto atenção a sensações como taquicardia</x:t>
  </x:si>
  <x:si>
    <x:t xml:space="preserve">F25</x:t>
  </x:si>
  <x:si>
    <x:t xml:space="preserve">25. Dificuldade de achar palavras certas [↺]</x:t>
  </x:si>
  <x:si>
    <x:t xml:space="preserve">F26</x:t>
  </x:si>
  <x:si>
    <x:t xml:space="preserve">26. Digo que não deveria pensar certos pensamentos [↺]</x:t>
  </x:si>
  <x:si>
    <x:t xml:space="preserve">F27</x:t>
  </x:si>
  <x:si>
    <x:t xml:space="preserve">27. Noto padrões nos meus pensamentos</x:t>
  </x:si>
  <x:si>
    <x:t xml:space="preserve">F28</x:t>
  </x:si>
  <x:si>
    <x:t xml:space="preserve">28. Percebo quando minha mente vagueia</x:t>
  </x:si>
  <x:si>
    <x:t xml:space="preserve">F29</x:t>
  </x:si>
  <x:si>
    <x:t xml:space="preserve">29. Estou presente no momento</x:t>
  </x:si>
  <x:si>
    <x:t xml:space="preserve">F30</x:t>
  </x:si>
  <x:si>
    <x:t xml:space="preserve">30. Sou capaz de observar pensamentos e sentimentos sem avaliação</x:t>
  </x:si>
  <x:si>
    <x:t xml:space="preserve">F31</x:t>
  </x:si>
  <x:si>
    <x:t xml:space="preserve">31. Experimento emoções sem reagir imediatamente</x:t>
  </x:si>
  <x:si>
    <x:t xml:space="preserve">F32</x:t>
  </x:si>
  <x:si>
    <x:t xml:space="preserve">32. Acredito que pensamentos e sentimentos são ruins [↺]</x:t>
  </x:si>
  <x:si>
    <x:t xml:space="preserve">F33</x:t>
  </x:si>
  <x:si>
    <x:t xml:space="preserve">33. Acho que alguns pensamentos são anormais e não devem ser [↺]</x:t>
  </x:si>
  <x:si>
    <x:t xml:space="preserve">F34</x:t>
  </x:si>
  <x:si>
    <x:t xml:space="preserve">34. Observo sentimentos sem me perder neles</x:t>
  </x:si>
  <x:si>
    <x:t xml:space="preserve">F35</x:t>
  </x:si>
  <x:si>
    <x:t xml:space="preserve">35. Estou realizando tarefas sem pensar nelas [↺]</x:t>
  </x:si>
  <x:si>
    <x:t xml:space="preserve">F36</x:t>
  </x:si>
  <x:si>
    <x:t xml:space="preserve">36. Noto quando meu humor muda sem avaliar</x:t>
  </x:si>
  <x:si>
    <x:t xml:space="preserve">F37</x:t>
  </x:si>
  <x:si>
    <x:t xml:space="preserve">37. Faço sem prestar atenção ao que estou fazendo [↺]</x:t>
  </x:si>
  <x:si>
    <x:t xml:space="preserve">F38</x:t>
  </x:si>
  <x:si>
    <x:t xml:space="preserve">38. Penso que emoções são inapropriadas [↺]</x:t>
  </x:si>
  <x:si>
    <x:t xml:space="preserve">F39</x:t>
  </x:si>
  <x:si>
    <x:t xml:space="preserve">39. Presto atenção ao que penso e sinto</x:t>
  </x:si>
  <x:si>
    <x:t xml:space="preserve">SEÇÃO 4 — IPS-20 (Escala de Corporificação)</x:t>
  </x:si>
  <x:si>
    <x:t xml:space="preserve">Leia cada afirmação e assinale o quanto ela descreve sua experiência nas últimas duas semanas. 0=Nunca / 1=Raramente / 2=Às vezes / 3=Frequentemente / 4=Quase sempre / 5=Sempre</x:t>
  </x:si>
  <x:si>
    <x:t xml:space="preserve">SEÇÃO 4</x:t>
  </x:si>
  <x:si>
    <x:t xml:space="preserve">1. Percebo sinais do meu corpo antes que eles se tornem intensos.</x:t>
  </x:si>
  <x:si>
    <x:t xml:space="preserve">2. Consigo notar mudanças corporais relacionadas ao estresse.</x:t>
  </x:si>
  <x:si>
    <x:t xml:space="preserve">3. Meu corpo me fornece informações importantes sobre como estou.</x:t>
  </x:si>
  <x:si>
    <x:t xml:space="preserve">4. Reconheço quando meu corpo está em equilíbrio ou em desequilíbrio.</x:t>
  </x:si>
  <x:si>
    <x:t xml:space="preserve">5. Consigo perceber quais emoções estão associadas às minhas sensações corporais.</x:t>
  </x:si>
  <x:si>
    <x:t xml:space="preserve">6. Reconheço emoções através das reações do meu corpo.</x:t>
  </x:si>
  <x:si>
    <x:t xml:space="preserve">7. Mudanças em meu corpo me ajudam a compreender meu estado emocional.</x:t>
  </x:si>
  <x:si>
    <x:t xml:space="preserve">8. Percebo relações entre minhas emoções e minhas sensações físicas.</x:t>
  </x:si>
  <x:si>
    <x:t xml:space="preserve">9. Consigo perceber como determinados pensamentos afetam meu corpo.</x:t>
  </x:si>
  <x:si>
    <x:t xml:space="preserve">10. Reconheço padrões de pensamento através das reações corporais.</x:t>
  </x:si>
  <x:si>
    <x:t xml:space="preserve">11. Meu corpo me ajuda a identificar quando estou preso em preocupações excessivas.</x:t>
  </x:si>
  <x:si>
    <x:t xml:space="preserve">12. As sensações corporais me ajudam a compreender melhor meus pensamentos.</x:t>
  </x:si>
  <x:si>
    <x:t xml:space="preserve">13. As informações que percebo no corpo influenciam minhas decisões.</x:t>
  </x:si>
  <x:si>
    <x:t xml:space="preserve">14. Quando percebo sinais de desequilíbrio consigo ajustar minhas escolhas.</x:t>
  </x:si>
  <x:si>
    <x:t xml:space="preserve">15. Meu corpo me ajuda a reconhecer quando preciso mudar algo.</x:t>
  </x:si>
  <x:si>
    <x:t xml:space="preserve">16. Consigo agir a partir daquilo que percebo em meu corpo.</x:t>
  </x:si>
  <x:si>
    <x:t xml:space="preserve">17. Percebo coerência entre o que sinto, penso e faço.</x:t>
  </x:si>
  <x:si>
    <x:t xml:space="preserve">18. As mudanças que realizei passaram a fazer parte da minha vida cotidiana.</x:t>
  </x:si>
  <x:si>
    <x:t xml:space="preserve">19. Sinto-me mais conectado(a) comigo mesmo(a).</x:t>
  </x:si>
  <x:si>
    <x:t xml:space="preserve">20. Utilizo a percepção corporal como recurso para viver de forma mais consciente.</x:t>
  </x:si>
  <x:si>
    <x:t xml:space="preserve">SEÇÃO 5 — GSES-10 (Autoeficácia Geral)</x:t>
  </x:si>
  <x:si>
    <x:t xml:space="preserve">Indique seu grau de concordância com cada afirmação. 1=Incorreto / 2=Dificilmente correto / 3=Moderadamente correto / 4=Exatamente correto</x:t>
  </x:si>
  <x:si>
    <x:t xml:space="preserve">SEÇÃO 5</x:t>
  </x:si>
  <x:si>
    <x:t xml:space="preserve">1. Consigo sempre resolver os problemas difíceis se me esforçar bastante.</x:t>
  </x:si>
  <x:si>
    <x:t xml:space="preserve">Escala linear 1–4</x:t>
  </x:si>
  <x:si>
    <x:t xml:space="preserve">Autoeficácia</x:t>
  </x:si>
  <x:si>
    <x:t xml:space="preserve">2. Se alguém me bloquear, encontro meios de alcançar o que quero.</x:t>
  </x:si>
  <x:si>
    <x:t xml:space="preserve">3. É fácil para mim aferrar-me às minhas intenções e atingir os meus objetivos.</x:t>
  </x:si>
  <x:si>
    <x:t xml:space="preserve">4. Estou confiante que poderia lidar eficientemente com eventos inesperados.</x:t>
  </x:si>
  <x:si>
    <x:t xml:space="preserve">5. Graças aos meus recursos, sei como lidar com situações imprevistas.</x:t>
  </x:si>
  <x:si>
    <x:t xml:space="preserve">6. Posso resolver a maioria dos problemas se investir o esforço necessário.</x:t>
  </x:si>
  <x:si>
    <x:t xml:space="preserve">7. Posso manter a calma ao enfrentar dificuldades, pois posso contar com minhas habilidades.</x:t>
  </x:si>
  <x:si>
    <x:t xml:space="preserve">8. Quando enfrento um problema, geralmente consigo encontrar várias soluções.</x:t>
  </x:si>
  <x:si>
    <x:t xml:space="preserve">9. Se estiver com problemas, geralmente consigo pensar em algo para fazer.</x:t>
  </x:si>
  <x:si>
    <x:t xml:space="preserve">10. Quando tenho que enfrentar algo, geralmente consigo pensar em algo para fazer.</x:t>
  </x:si>
  <x:si>
    <x:t xml:space="preserve">Codigo</x:t>
  </x:si>
  <x:si>
    <x:t xml:space="preserve">Sessao</x:t>
  </x:si>
  <x:si>
    <x:t xml:space="preserve">MAIA_Noticing</x:t>
  </x:si>
  <x:si>
    <x:t xml:space="preserve">MAIA_NotDistract</x:t>
  </x:si>
  <x:si>
    <x:t xml:space="preserve">MAIA_NotWorry</x:t>
  </x:si>
  <x:si>
    <x:t xml:space="preserve">MAIA_AttReg</x:t>
  </x:si>
  <x:si>
    <x:t xml:space="preserve">MAIA_EmoAware</x:t>
  </x:si>
  <x:si>
    <x:t xml:space="preserve">MAIA_SelfReg</x:t>
  </x:si>
  <x:si>
    <x:t xml:space="preserve">MAIA_BodyList</x:t>
  </x:si>
  <x:si>
    <x:t xml:space="preserve">MAIA_Trusting</x:t>
  </x:si>
  <x:si>
    <x:t xml:space="preserve">FFMQ_Observar</x:t>
  </x:si>
  <x:si>
    <x:t xml:space="preserve">FFMQ_Descrever</x:t>
  </x:si>
  <x:si>
    <x:t xml:space="preserve">FFMQ_AgirConsc</x:t>
  </x:si>
  <x:si>
    <x:t xml:space="preserve">FFMQ_NaoJulgar</x:t>
  </x:si>
  <x:si>
    <x:t xml:space="preserve">FFMQ_NaoReagir</x:t>
  </x:si>
  <x:si>
    <x:t xml:space="preserve">FFMQ_Total</x:t>
  </x:si>
  <x:si>
    <x:t xml:space="preserve">IPS_Corpo</x:t>
  </x:si>
  <x:si>
    <x:t xml:space="preserve">IPS_Emocao</x:t>
  </x:si>
  <x:si>
    <x:t xml:space="preserve">IPS_Pensamento</x:t>
  </x:si>
  <x:si>
    <x:t xml:space="preserve">IPS_Escolha</x:t>
  </x:si>
  <x:si>
    <x:t xml:space="preserve">IPS_Integracao</x:t>
  </x:si>
  <x:si>
    <x:t xml:space="preserve">IPS_Total</x:t>
  </x:si>
  <x:si>
    <x:t xml:space="preserve">IPS_Perfil</x:t>
  </x:si>
  <x:si>
    <x:t xml:space="preserve">GSES_Total</x:t>
  </x:si>
  <x:si>
    <x:t xml:space="preserve">Seq</x:t>
  </x:si>
  <x:si>
    <x:t xml:space="preserve">Key</x:t>
  </x:si>
  <x:si>
    <x:t xml:space="preserve">DASHBOARD PROMEV-IPS — Evolução Temporal</x:t>
  </x:si>
  <x:si>
    <x:t xml:space="preserve">MAIA-2 por Sessão</x:t>
  </x:si>
  <x:si>
    <x:t xml:space="preserve">FFMQ-BR por Sessão</x:t>
  </x:si>
  <x:si>
    <x:t xml:space="preserve">Δ Evolução S1→S8</x:t>
  </x:si>
  <x:si>
    <x:t xml:space="preserve">Instrumento</x:t>
  </x:si>
  <x:si>
    <x:t xml:space="preserve">Not-Distract</x:t>
  </x:si>
  <x:si>
    <x:t xml:space="preserve">Not-Worry</x:t>
  </x:si>
  <x:si>
    <x:t xml:space="preserve">Agir c/Consc</x:t>
  </x:si>
  <x:si>
    <x:t xml:space="preserve">Att.Reg</x:t>
  </x:si>
  <x:si>
    <x:t xml:space="preserve">Emo.Aware</x:t>
  </x:si>
  <x:si>
    <x:t xml:space="preserve">FFMQ Total</x:t>
  </x:si>
  <x:si>
    <x:t xml:space="preserve">Self-Reg</x:t>
  </x:si>
  <x:si>
    <x:t xml:space="preserve">Body-Listen</x:t>
  </x:si>
  <x:si>
    <x:t xml:space="preserve">ℹ️  Para gráficos: selecione os dados acima e insira Gráfico de Linhas ou Radar no Google Sheets</x:t>
  </x:si>
  <x:si>
    <x:t xml:space="preserve">NÍVEIS DE ANÁLISE</x:t>
  </x:si>
  <x:si>
    <x:t xml:space="preserve">NÍVEL 1 — GRUPO</x:t>
  </x:si>
  <x:si>
    <x:t xml:space="preserve">Médias de toda a turma PROMEV por sessão. Use para verificar efeito do protocolo geral.</x:t>
  </x:si>
  <x:si>
    <x:t xml:space="preserve">NÍVEL 2 — SUBGRUPOS</x:t>
  </x:si>
  <x:si>
    <x:t xml:space="preserve">Compare grupos por gênero, idade, prática prévia de mindfulness. Use filtros na aba Banco de Dados.</x:t>
  </x:si>
  <x:si>
    <x:t xml:space="preserve">NÍVEL 3 — INDIVIDUAL</x:t>
  </x:si>
  <x:si>
    <x:t xml:space="preserve">Evolução de cada participante S1→S4→S8. Identifique outliers e casos de não-resposta.</x:t>
  </x:si>
  <x:si>
    <x:t xml:space="preserve">EVOLUÇÃO INDIVIDUAL DO PACIENTE</x:t>
  </x:si>
  <x:si>
    <x:t xml:space="preserve">Código do Paciente:</x:t>
  </x:si>
  <x:si>
    <x:t xml:space="preserve">Avaliação nº</x:t>
  </x:si>
  <x:si>
    <x:t xml:space="preserve">IPS-20 Total</x:t>
  </x:si>
  <x:si>
    <x:t xml:space="preserve">GSES Total</x:t>
  </x:si>
  <x:si>
    <x:t xml:space="preserve">DASHBOARD CONSULTÓRIO — Evolução ao Longo do Tempo</x:t>
  </x:si>
  <x:si>
    <x:t xml:space="preserve">Paciente:</x:t>
  </x:si>
  <x:si>
    <x:t xml:space="preserve">(o código é definido na aba "Evolução Paciente")</x:t>
  </x:si>
</x:sst>
</file>

<file path=xl/styles.xml><?xml version="1.0" encoding="utf-8"?>
<x:styleSheet xmlns:x="http://schemas.openxmlformats.org/spreadsheetml/2006/main">
  <x:numFmts count="1">
    <x:numFmt numFmtId="164" formatCode="\+0.00;\-0.00;0.00"/>
  </x:numFmts>
  <x:fonts count="30">
    <x:font>
      <x:sz val="11"/>
      <x:color theme="1"/>
      <x:name val="Calibri"/>
    </x:font>
    <x:font>
      <x:b/>
      <x:sz val="24"/>
      <x:color rgb="FFFFFFFF"/>
      <x:name val="Arial"/>
    </x:font>
    <x:font>
      <x:i/>
      <x:sz val="12"/>
      <x:color rgb="FFFFFFFF"/>
      <x:name val="Arial"/>
    </x:font>
    <x:font>
      <x:b/>
      <x:sz val="11"/>
      <x:color rgb="FFFFFFFF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0F3460"/>
      <x:name val="Arial"/>
    </x:font>
    <x:font>
      <x:b/>
      <x:sz val="12"/>
      <x:color rgb="FFFFFFFF"/>
      <x:name val="Arial"/>
    </x:font>
    <x:font>
      <x:b/>
      <x:sz val="10"/>
      <x:color rgb="FFFFFFFF"/>
      <x:name val="Arial"/>
    </x:font>
    <x:font>
      <x:b/>
      <x:sz val="10"/>
      <x:color rgb="FF7D4900"/>
      <x:name val="Arial"/>
    </x:font>
    <x:font>
      <x:b/>
      <x:sz val="10"/>
      <x:color rgb="FF1A6B3C"/>
      <x:name val="Arial"/>
    </x:font>
    <x:font>
      <x:b/>
      <x:sz val="9"/>
      <x:color rgb="FFFFFFFF"/>
      <x:name val="Arial"/>
    </x:font>
    <x:font>
      <x:b/>
      <x:sz val="8"/>
      <x:color rgb="FFFFFFFF"/>
      <x:name val="Arial"/>
    </x:font>
    <x:font>
      <x:b/>
      <x:sz val="10"/>
      <x:color rgb="FF7B2D8B"/>
      <x:name val="Arial"/>
    </x:font>
    <x:font>
      <x:sz val="10"/>
      <x:color rgb="FFB5451B"/>
      <x:name val="Arial"/>
    </x:font>
    <x:font>
      <x:b/>
      <x:sz val="10"/>
      <x:color rgb="FFC0392B"/>
      <x:name val="Arial"/>
    </x:font>
    <x:font>
      <x:b/>
      <x:sz val="10"/>
      <x:color rgb="FF8E44AD"/>
      <x:name val="Arial"/>
    </x:font>
    <x:font>
      <x:b/>
      <x:sz val="10"/>
      <x:color rgb="FF2980B9"/>
      <x:name val="Arial"/>
    </x:font>
    <x:font>
      <x:b/>
      <x:sz val="10"/>
      <x:color rgb="FF27AE60"/>
      <x:name val="Arial"/>
    </x:font>
    <x:font>
      <x:b/>
      <x:sz val="10"/>
      <x:color rgb="FFE67E22"/>
      <x:name val="Arial"/>
    </x:font>
    <x:font>
      <x:sz val="10"/>
      <x:color rgb="FF1A6B3C"/>
      <x:name val="Arial"/>
    </x:font>
    <x:font>
      <x:b/>
      <x:sz val="10"/>
      <x:color rgb="FF856404"/>
      <x:name val="Arial"/>
    </x:font>
    <x:font>
      <x:b/>
      <x:sz val="14"/>
      <x:name val="Calibri"/>
    </x:font>
    <x:font>
      <x:b/>
      <x:sz val="11"/>
      <x:name val="Calibri"/>
    </x:font>
    <x:font>
      <x:b/>
      <x:sz val="11"/>
      <x:color rgb="FF0000FF"/>
      <x:name val="Calibri"/>
    </x:font>
    <x:font>
      <x:b/>
      <x:sz val="14"/>
      <x:name val="Calibri"/>
    </x:font>
    <x:font>
      <x:b/>
      <x:sz val="11"/>
      <x:name val="Calibri"/>
    </x:font>
    <x:font>
      <x:b/>
      <x:sz val="11"/>
      <x:color rgb="FF0000FF"/>
      <x:name val="Calibri"/>
    </x:font>
    <x:font>
      <x:b/>
      <x:sz val="19"/>
      <x:color rgb="FFFFFFFF"/>
      <x:name val="Arial"/>
    </x:font>
    <x:font>
      <x:sz val="19"/>
      <x:color theme="1"/>
      <x:name val="Calibri"/>
    </x:font>
  </x:fonts>
  <x:fills count="53">
    <x:fill>
      <x:patternFill patternType="none"/>
    </x:fill>
    <x:fill>
      <x:patternFill patternType="gray125"/>
    </x:fill>
    <x:fill>
      <x:patternFill patternType="solid">
        <x:fgColor rgb="FF0F3460"/>
      </x:patternFill>
    </x:fill>
    <x:fill>
      <x:patternFill patternType="solid">
        <x:fgColor rgb="FF533483"/>
      </x:patternFill>
    </x:fill>
    <x:fill>
      <x:patternFill patternType="solid">
        <x:fgColor rgb="FF2D3561"/>
      </x:patternFill>
    </x:fill>
    <x:fill>
      <x:patternFill patternType="solid">
        <x:fgColor rgb="FFE8F4F8"/>
      </x:patternFill>
    </x:fill>
    <x:fill>
      <x:patternFill patternType="solid">
        <x:fgColor rgb="FFF0F4FF"/>
      </x:patternFill>
    </x:fill>
    <x:fill>
      <x:patternFill patternType="solid">
        <x:fgColor rgb="FFF5F0FF"/>
      </x:patternFill>
    </x:fill>
    <x:fill>
      <x:patternFill patternType="solid">
        <x:fgColor rgb="FFFFF5E8"/>
      </x:patternFill>
    </x:fill>
    <x:fill>
      <x:patternFill patternType="solid">
        <x:fgColor rgb="FFF0FFF4"/>
      </x:patternFill>
    </x:fill>
    <x:fill>
      <x:patternFill patternType="solid">
        <x:fgColor rgb="FFFFF0F5"/>
      </x:patternFill>
    </x:fill>
    <x:fill>
      <x:patternFill patternType="solid">
        <x:fgColor rgb="FFF8FBFF"/>
      </x:patternFill>
    </x:fill>
    <x:fill>
      <x:patternFill patternType="mediumGray">
        <x:fgColor rgb="FFB5451B"/>
        <x:bgColor rgb="FFB7461D"/>
      </x:patternFill>
    </x:fill>
    <x:fill>
      <x:patternFill patternType="solid">
        <x:fgColor rgb="FF7E4E00"/>
      </x:patternFill>
    </x:fill>
    <x:fill>
      <x:patternFill patternType="solid">
        <x:fgColor rgb="FFC0392B"/>
      </x:patternFill>
    </x:fill>
    <x:fill>
      <x:patternFill patternType="solid">
        <x:fgColor rgb="FF8E44AD"/>
      </x:patternFill>
    </x:fill>
    <x:fill>
      <x:patternFill patternType="solid">
        <x:fgColor rgb="FF2B80B9"/>
      </x:patternFill>
    </x:fill>
    <x:fill>
      <x:patternFill patternType="solid">
        <x:fgColor rgb="FF27AE60"/>
      </x:patternFill>
    </x:fill>
    <x:fill>
      <x:patternFill patternType="solid">
        <x:fgColor rgb="FFE67E22"/>
      </x:patternFill>
    </x:fill>
    <x:fill>
      <x:patternFill patternType="solid">
        <x:fgColor rgb="FFFFFFFF"/>
      </x:patternFill>
    </x:fill>
    <x:fill>
      <x:patternFill patternType="solid">
        <x:fgColor rgb="FFF8F9FF"/>
      </x:patternFill>
    </x:fill>
    <x:fill>
      <x:patternFill patternType="solid">
        <x:fgColor rgb="FFFEF9E7"/>
      </x:patternFill>
    </x:fill>
    <x:fill>
      <x:patternFill patternType="solid">
        <x:fgColor rgb="FFFFF9C4"/>
      </x:patternFill>
    </x:fill>
    <x:fill>
      <x:patternFill patternType="solid">
        <x:fgColor rgb="FFF0E6D3"/>
      </x:patternFill>
    </x:fill>
    <x:fill>
      <x:patternFill patternType="solid">
        <x:fgColor rgb="FFFFEBEE"/>
      </x:patternFill>
    </x:fill>
    <x:fill>
      <x:patternFill patternType="solid">
        <x:fgColor rgb="FFFFF3E0"/>
      </x:patternFill>
    </x:fill>
    <x:fill>
      <x:patternFill patternType="solid">
        <x:fgColor rgb="FFE8F5E9"/>
      </x:patternFill>
    </x:fill>
    <x:fill>
      <x:patternFill patternType="solid">
        <x:fgColor rgb="FFE3F2FD"/>
      </x:patternFill>
    </x:fill>
    <x:fill>
      <x:patternFill patternType="solid">
        <x:fgColor rgb="FF1A6B3C"/>
      </x:patternFill>
    </x:fill>
    <x:fill>
      <x:patternFill patternType="solid">
        <x:fgColor rgb="FF0A4A2A"/>
      </x:patternFill>
    </x:fill>
    <x:fill>
      <x:patternFill patternType="solid">
        <x:fgColor rgb="FF7B2D8B"/>
      </x:patternFill>
    </x:fill>
    <x:fill>
      <x:patternFill patternType="solid">
        <x:fgColor rgb="FF6A1B9A"/>
      </x:patternFill>
    </x:fill>
    <x:fill>
      <x:patternFill patternType="solid">
        <x:fgColor rgb="FF880E4F"/>
      </x:patternFill>
    </x:fill>
    <x:fill>
      <x:patternFill patternType="solid">
        <x:fgColor rgb="FF1565C0"/>
      </x:patternFill>
    </x:fill>
    <x:fill>
      <x:patternFill patternType="solid">
        <x:fgColor rgb="FF2E7D32"/>
      </x:patternFill>
    </x:fill>
    <x:fill>
      <x:patternFill patternType="solid">
        <x:fgColor rgb="FFE65100"/>
      </x:patternFill>
    </x:fill>
    <x:fill>
      <x:patternFill patternType="solid">
        <x:fgColor rgb="FF1A1A2E"/>
      </x:patternFill>
    </x:fill>
    <x:fill>
      <x:patternFill patternType="solid">
        <x:fgColor rgb="FF1976D2"/>
      </x:patternFill>
    </x:fill>
    <x:fill>
      <x:patternFill patternType="solid">
        <x:fgColor rgb="FF7B1FA2"/>
      </x:patternFill>
    </x:fill>
    <x:fill>
      <x:patternFill patternType="mediumGray">
        <x:fgColor rgb="FF4B8F46"/>
        <x:bgColor rgb="FF2E7D32"/>
      </x:patternFill>
    </x:fill>
    <x:fill>
      <x:patternFill patternType="solid">
        <x:fgColor rgb="FFF57C00"/>
      </x:patternFill>
    </x:fill>
    <x:fill>
      <x:patternFill patternType="solid">
        <x:fgColor rgb="FFC62828"/>
      </x:patternFill>
    </x:fill>
    <x:fill>
      <x:patternFill patternType="solid">
        <x:fgColor rgb="FF00796B"/>
      </x:patternFill>
    </x:fill>
    <x:fill>
      <x:patternFill patternType="solid">
        <x:fgColor rgb="FF5D4037"/>
      </x:patternFill>
    </x:fill>
    <x:fill>
      <x:patternFill patternType="solid">
        <x:fgColor rgb="FF455A64"/>
      </x:patternFill>
    </x:fill>
    <x:fill>
      <x:patternFill patternType="solid">
        <x:fgColor rgb="FF00B4D8"/>
      </x:patternFill>
    </x:fill>
    <x:fill>
      <x:patternFill patternType="solid">
        <x:fgColor rgb="FFFAFAFA"/>
      </x:patternFill>
    </x:fill>
    <x:fill>
      <x:patternFill patternType="solid">
        <x:fgColor rgb="FFE8EAF6"/>
      </x:patternFill>
    </x:fill>
    <x:fill>
      <x:patternFill patternType="solid">
        <x:fgColor rgb="FFF3E5F5"/>
      </x:patternFill>
    </x:fill>
    <x:fill>
      <x:patternFill patternType="solid">
        <x:fgColor rgb="FF2ECC71"/>
      </x:patternFill>
    </x:fill>
    <x:fill>
      <x:patternFill patternType="solid">
        <x:fgColor rgb="FFF0E8FF"/>
      </x:patternFill>
    </x:fill>
    <x:fill>
      <x:patternFill patternType="solid">
        <x:fgColor rgb="FFE8F0FF"/>
      </x:patternFill>
    </x:fill>
    <x:fill>
      <x:patternFill patternType="solid">
        <x:fgColor rgb="FFFFF3CD"/>
      </x:patternFill>
    </x:fill>
  </x:fills>
  <x:borders count="9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E0E0E0"/>
      </x:left>
      <x:right style="thin">
        <x:color rgb="FFE0E0E0"/>
      </x:right>
      <x:top style="thin">
        <x:color rgb="FFE0E0E0"/>
      </x:top>
      <x:bottom style="thin">
        <x:color rgb="FFE0E0E0"/>
      </x:bottom>
    </x:border>
    <x:border>
      <x:left style="thin">
        <x:color rgb="FFCCCCCC"/>
      </x:left>
      <x:top style="thin">
        <x:color rgb="FFCCCCCC"/>
      </x:top>
      <x:bottom style="thin">
        <x:color rgb="FFCCCCCC"/>
      </x:bottom>
    </x:border>
    <x:border>
      <x:left style="thin">
        <x:color rgb="FFE0E0E0"/>
      </x:left>
      <x:top style="thin">
        <x:color rgb="FFE0E0E0"/>
      </x:top>
      <x:bottom style="thin">
        <x:color rgb="FFE0E0E0"/>
      </x:bottom>
    </x:border>
    <x:border>
      <x:top style="thin">
        <x:color rgb="FFCCCCCC"/>
      </x:top>
      <x:bottom style="thin">
        <x:color rgb="FFCCCCCC"/>
      </x:bottom>
    </x:border>
    <x:border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top style="thin">
        <x:color rgb="FFE0E0E0"/>
      </x:top>
      <x:bottom style="thin">
        <x:color rgb="FFE0E0E0"/>
      </x:bottom>
    </x:border>
    <x:border>
      <x:right style="thin">
        <x:color rgb="FFE0E0E0"/>
      </x:right>
      <x:top style="thin">
        <x:color rgb="FFE0E0E0"/>
      </x:top>
      <x:bottom style="thin">
        <x:color rgb="FFE0E0E0"/>
      </x:bottom>
    </x:border>
  </x:borders>
  <x:cellStyleXfs count="1">
    <x:xf numFmtId="0" fontId="0" fillId="0" borderId="0"/>
  </x:cellStyleXfs>
  <x:cellXfs count="177">
    <x:xf numFmtId="0" fontId="0" fillId="0" borderId="0" xfId="0"/>
    <x:xf numFmtId="0" fontId="3" fillId="4" borderId="1" xfId="0" applyFont="1" applyFill="1" applyBorder="1" applyAlignment="1">
      <x:alignment horizontal="center" vertical="center"/>
    </x:xf>
    <x:xf numFmtId="0" fontId="3" fillId="4" borderId="1" xfId="0" applyFont="1" applyFill="1" applyBorder="1" applyAlignment="1">
      <x:alignment horizontal="left" vertical="center"/>
    </x:xf>
    <x:xf numFmtId="0" fontId="4" fillId="5" borderId="2" xfId="0" applyFont="1" applyFill="1" applyBorder="1" applyAlignment="1">
      <x:alignment horizontal="left" vertical="center" wrapText="1"/>
    </x:xf>
    <x:xf numFmtId="0" fontId="5" fillId="5" borderId="2" xfId="0" applyFont="1" applyFill="1" applyBorder="1" applyAlignment="1">
      <x:alignment horizontal="left" vertical="center" wrapText="1"/>
    </x:xf>
    <x:xf numFmtId="0" fontId="4" fillId="6" borderId="2" xfId="0" applyFont="1" applyFill="1" applyBorder="1" applyAlignment="1">
      <x:alignment horizontal="left" vertical="center" wrapText="1"/>
    </x:xf>
    <x:xf numFmtId="0" fontId="5" fillId="6" borderId="2" xfId="0" applyFont="1" applyFill="1" applyBorder="1" applyAlignment="1">
      <x:alignment horizontal="left" vertical="center" wrapText="1"/>
    </x:xf>
    <x:xf numFmtId="0" fontId="4" fillId="7" borderId="2" xfId="0" applyFont="1" applyFill="1" applyBorder="1" applyAlignment="1">
      <x:alignment horizontal="left" vertical="center" wrapText="1"/>
    </x:xf>
    <x:xf numFmtId="0" fontId="5" fillId="7" borderId="2" xfId="0" applyFont="1" applyFill="1" applyBorder="1" applyAlignment="1">
      <x:alignment horizontal="left" vertical="center" wrapText="1"/>
    </x:xf>
    <x:xf numFmtId="0" fontId="4" fillId="8" borderId="2" xfId="0" applyFont="1" applyFill="1" applyBorder="1" applyAlignment="1">
      <x:alignment horizontal="left" vertical="center" wrapText="1"/>
    </x:xf>
    <x:xf numFmtId="0" fontId="5" fillId="8" borderId="2" xfId="0" applyFont="1" applyFill="1" applyBorder="1" applyAlignment="1">
      <x:alignment horizontal="left" vertical="center" wrapText="1"/>
    </x:xf>
    <x:xf numFmtId="0" fontId="4" fillId="9" borderId="2" xfId="0" applyFont="1" applyFill="1" applyBorder="1" applyAlignment="1">
      <x:alignment horizontal="left" vertical="center" wrapText="1"/>
    </x:xf>
    <x:xf numFmtId="0" fontId="5" fillId="9" borderId="2" xfId="0" applyFont="1" applyFill="1" applyBorder="1" applyAlignment="1">
      <x:alignment horizontal="left" vertical="center" wrapText="1"/>
    </x:xf>
    <x:xf numFmtId="0" fontId="4" fillId="10" borderId="2" xfId="0" applyFont="1" applyFill="1" applyBorder="1" applyAlignment="1">
      <x:alignment horizontal="left" vertical="center" wrapText="1"/>
    </x:xf>
    <x:xf numFmtId="0" fontId="5" fillId="10" borderId="2" xfId="0" applyFont="1" applyFill="1" applyBorder="1" applyAlignment="1">
      <x:alignment horizontal="left" vertical="center" wrapText="1"/>
    </x:xf>
    <x:xf numFmtId="0" fontId="6" fillId="5" borderId="2" xfId="0" applyFont="1" applyFill="1" applyBorder="1" applyAlignment="1">
      <x:alignment horizontal="center" vertical="center" wrapText="1"/>
    </x:xf>
    <x:xf numFmtId="0" fontId="5" fillId="11" borderId="2" xfId="0" applyFont="1" applyFill="1" applyBorder="1" applyAlignment="1">
      <x:alignment horizontal="left" vertical="center" wrapText="1"/>
    </x:xf>
    <x:xf numFmtId="0" fontId="5" fillId="11" borderId="2" xfId="0" applyFont="1" applyFill="1" applyBorder="1" applyAlignment="1">
      <x:alignment horizontal="center" vertical="center" wrapText="1"/>
    </x:xf>
    <x:xf numFmtId="0" fontId="8" fillId="4" borderId="1" xfId="0" applyFont="1" applyFill="1" applyBorder="1" applyAlignment="1">
      <x:alignment horizontal="center" vertical="center"/>
    </x:xf>
    <x:xf numFmtId="0" fontId="8" fillId="14" borderId="1" xfId="0" applyFont="1" applyFill="1" applyBorder="1" applyAlignment="1">
      <x:alignment horizontal="center" vertical="center" wrapText="1"/>
    </x:xf>
    <x:xf numFmtId="0" fontId="8" fillId="15" borderId="1" xfId="0" applyFont="1" applyFill="1" applyBorder="1" applyAlignment="1">
      <x:alignment horizontal="center" vertical="center" wrapText="1"/>
    </x:xf>
    <x:xf numFmtId="0" fontId="8" fillId="16" borderId="1" xfId="0" applyFont="1" applyFill="1" applyBorder="1" applyAlignment="1">
      <x:alignment horizontal="center" vertical="center" wrapText="1"/>
    </x:xf>
    <x:xf numFmtId="0" fontId="8" fillId="17" borderId="1" xfId="0" applyFont="1" applyFill="1" applyBorder="1" applyAlignment="1">
      <x:alignment horizontal="center" vertical="center" wrapText="1"/>
    </x:xf>
    <x:xf numFmtId="0" fontId="8" fillId="18" borderId="1" xfId="0" applyFont="1" applyFill="1" applyBorder="1" applyAlignment="1">
      <x:alignment horizontal="center" vertical="center" wrapText="1"/>
    </x:xf>
    <x:xf numFmtId="0" fontId="8" fillId="13" borderId="1" xfId="0" applyFont="1" applyFill="1" applyBorder="1" applyAlignment="1">
      <x:alignment horizontal="center" vertical="center" wrapText="1"/>
    </x:xf>
    <x:xf numFmtId="0" fontId="8" fillId="12" borderId="1" xfId="0" applyFont="1" applyFill="1" applyBorder="1" applyAlignment="1">
      <x:alignment horizontal="center" vertical="center" wrapText="1"/>
    </x:xf>
    <x:xf numFmtId="0" fontId="5" fillId="19" borderId="2" xfId="0" applyFont="1" applyFill="1" applyBorder="1" applyAlignment="1">
      <x:alignment horizontal="center" vertical="center" wrapText="1"/>
    </x:xf>
    <x:xf numFmtId="1" fontId="5" fillId="19" borderId="2" xfId="0" applyNumberFormat="1" applyFont="1" applyFill="1" applyBorder="1" applyAlignment="1">
      <x:alignment horizontal="center" vertical="center" wrapText="1"/>
    </x:xf>
    <x:xf numFmtId="1" fontId="9" fillId="19" borderId="2" xfId="0" applyNumberFormat="1" applyFont="1" applyFill="1" applyBorder="1" applyAlignment="1">
      <x:alignment horizontal="center" vertical="center" wrapText="1"/>
    </x:xf>
    <x:xf numFmtId="0" fontId="4" fillId="19" borderId="2" xfId="0" applyFont="1" applyFill="1" applyBorder="1" applyAlignment="1">
      <x:alignment horizontal="center" vertical="center" wrapText="1"/>
    </x:xf>
    <x:xf numFmtId="0" fontId="5" fillId="20" borderId="2" xfId="0" applyFont="1" applyFill="1" applyBorder="1" applyAlignment="1">
      <x:alignment horizontal="center" vertical="center" wrapText="1"/>
    </x:xf>
    <x:xf numFmtId="1" fontId="5" fillId="20" borderId="2" xfId="0" applyNumberFormat="1" applyFont="1" applyFill="1" applyBorder="1" applyAlignment="1">
      <x:alignment horizontal="center" vertical="center" wrapText="1"/>
    </x:xf>
    <x:xf numFmtId="1" fontId="9" fillId="20" borderId="2" xfId="0" applyNumberFormat="1" applyFont="1" applyFill="1" applyBorder="1" applyAlignment="1">
      <x:alignment horizontal="center" vertical="center" wrapText="1"/>
    </x:xf>
    <x:xf numFmtId="0" fontId="4" fillId="20" borderId="2" xfId="0" applyFont="1" applyFill="1" applyBorder="1" applyAlignment="1">
      <x:alignment horizontal="center" vertical="center" wrapText="1"/>
    </x:xf>
    <x:xf numFmtId="0" fontId="8" fillId="4" borderId="1" xfId="0" applyFont="1" applyFill="1" applyBorder="1" applyAlignment="1">
      <x:alignment horizontal="left" vertical="center"/>
    </x:xf>
    <x:xf numFmtId="0" fontId="5" fillId="21" borderId="2" xfId="0" applyFont="1" applyFill="1" applyBorder="1" applyAlignment="1">
      <x:alignment horizontal="left" vertical="center" wrapText="1"/>
    </x:xf>
    <x:xf numFmtId="2" fontId="5" fillId="19" borderId="2" xfId="0" applyNumberFormat="1" applyFont="1" applyFill="1" applyBorder="1" applyAlignment="1">
      <x:alignment horizontal="center" vertical="center" wrapText="1"/>
    </x:xf>
    <x:xf numFmtId="164" fontId="5" fillId="22" borderId="2" xfId="0" applyNumberFormat="1" applyFont="1" applyFill="1" applyBorder="1" applyAlignment="1">
      <x:alignment horizontal="center" vertical="center" wrapText="1"/>
    </x:xf>
    <x:xf numFmtId="0" fontId="4" fillId="23" borderId="2" xfId="0" applyFont="1" applyFill="1" applyBorder="1" applyAlignment="1">
      <x:alignment horizontal="left" vertical="center" wrapText="1"/>
    </x:xf>
    <x:xf numFmtId="2" fontId="4" fillId="21" borderId="2" xfId="0" applyNumberFormat="1" applyFont="1" applyFill="1" applyBorder="1" applyAlignment="1">
      <x:alignment horizontal="center" vertical="center" wrapText="1"/>
    </x:xf>
    <x:xf numFmtId="164" fontId="4" fillId="22" borderId="2" xfId="0" applyNumberFormat="1" applyFont="1" applyFill="1" applyBorder="1" applyAlignment="1">
      <x:alignment horizontal="center" vertical="center" wrapText="1"/>
    </x:xf>
    <x:xf numFmtId="0" fontId="4" fillId="24" borderId="2" xfId="0" applyFont="1" applyFill="1" applyBorder="1" applyAlignment="1">
      <x:alignment horizontal="left" vertical="center" wrapText="1"/>
    </x:xf>
    <x:xf numFmtId="0" fontId="5" fillId="24" borderId="2" xfId="0" applyFont="1" applyFill="1" applyBorder="1" applyAlignment="1">
      <x:alignment horizontal="center" vertical="center" wrapText="1"/>
    </x:xf>
    <x:xf numFmtId="9" fontId="5" fillId="24" borderId="2" xfId="0" applyNumberFormat="1" applyFont="1" applyFill="1" applyBorder="1" applyAlignment="1">
      <x:alignment horizontal="center" vertical="center" wrapText="1"/>
    </x:xf>
    <x:xf numFmtId="0" fontId="4" fillId="25" borderId="2" xfId="0" applyFont="1" applyFill="1" applyBorder="1" applyAlignment="1">
      <x:alignment horizontal="left" vertical="center" wrapText="1"/>
    </x:xf>
    <x:xf numFmtId="0" fontId="5" fillId="25" borderId="2" xfId="0" applyFont="1" applyFill="1" applyBorder="1" applyAlignment="1">
      <x:alignment horizontal="center" vertical="center" wrapText="1"/>
    </x:xf>
    <x:xf numFmtId="9" fontId="5" fillId="25" borderId="2" xfId="0" applyNumberFormat="1" applyFont="1" applyFill="1" applyBorder="1" applyAlignment="1">
      <x:alignment horizontal="center" vertical="center" wrapText="1"/>
    </x:xf>
    <x:xf numFmtId="0" fontId="4" fillId="22" borderId="2" xfId="0" applyFont="1" applyFill="1" applyBorder="1" applyAlignment="1">
      <x:alignment horizontal="left" vertical="center" wrapText="1"/>
    </x:xf>
    <x:xf numFmtId="0" fontId="5" fillId="22" borderId="2" xfId="0" applyFont="1" applyFill="1" applyBorder="1" applyAlignment="1">
      <x:alignment horizontal="center" vertical="center" wrapText="1"/>
    </x:xf>
    <x:xf numFmtId="9" fontId="5" fillId="22" borderId="2" xfId="0" applyNumberFormat="1" applyFont="1" applyFill="1" applyBorder="1" applyAlignment="1">
      <x:alignment horizontal="center" vertical="center" wrapText="1"/>
    </x:xf>
    <x:xf numFmtId="0" fontId="4" fillId="26" borderId="2" xfId="0" applyFont="1" applyFill="1" applyBorder="1" applyAlignment="1">
      <x:alignment horizontal="left" vertical="center" wrapText="1"/>
    </x:xf>
    <x:xf numFmtId="0" fontId="5" fillId="26" borderId="2" xfId="0" applyFont="1" applyFill="1" applyBorder="1" applyAlignment="1">
      <x:alignment horizontal="center" vertical="center" wrapText="1"/>
    </x:xf>
    <x:xf numFmtId="9" fontId="5" fillId="26" borderId="2" xfId="0" applyNumberFormat="1" applyFont="1" applyFill="1" applyBorder="1" applyAlignment="1">
      <x:alignment horizontal="center" vertical="center" wrapText="1"/>
    </x:xf>
    <x:xf numFmtId="0" fontId="4" fillId="27" borderId="2" xfId="0" applyFont="1" applyFill="1" applyBorder="1" applyAlignment="1">
      <x:alignment horizontal="left" vertical="center" wrapText="1"/>
    </x:xf>
    <x:xf numFmtId="0" fontId="5" fillId="27" borderId="2" xfId="0" applyFont="1" applyFill="1" applyBorder="1" applyAlignment="1">
      <x:alignment horizontal="center" vertical="center" wrapText="1"/>
    </x:xf>
    <x:xf numFmtId="9" fontId="5" fillId="27" borderId="2" xfId="0" applyNumberFormat="1" applyFont="1" applyFill="1" applyBorder="1" applyAlignment="1">
      <x:alignment horizontal="center" vertical="center" wrapText="1"/>
    </x:xf>
    <x:xf numFmtId="0" fontId="8" fillId="28" borderId="1" xfId="0" applyFont="1" applyFill="1" applyBorder="1" applyAlignment="1">
      <x:alignment horizontal="center" vertical="center" wrapText="1"/>
    </x:xf>
    <x:xf numFmtId="0" fontId="8" fillId="29" borderId="1" xfId="0" applyFont="1" applyFill="1" applyBorder="1" applyAlignment="1">
      <x:alignment horizontal="center" vertical="center" wrapText="1"/>
    </x:xf>
    <x:xf numFmtId="1" fontId="10" fillId="19" borderId="2" xfId="0" applyNumberFormat="1" applyFont="1" applyFill="1" applyBorder="1" applyAlignment="1">
      <x:alignment horizontal="center" vertical="center" wrapText="1"/>
    </x:xf>
    <x:xf numFmtId="1" fontId="10" fillId="20" borderId="2" xfId="0" applyNumberFormat="1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center" vertical="center"/>
    </x:xf>
    <x:xf numFmtId="0" fontId="4" fillId="26" borderId="2" xfId="0" applyFont="1" applyFill="1" applyBorder="1" applyAlignment="1">
      <x:alignment horizontal="center" vertical="center" wrapText="1"/>
    </x:xf>
    <x:xf numFmtId="0" fontId="5" fillId="26" borderId="2" xfId="0" applyFont="1" applyFill="1" applyBorder="1" applyAlignment="1">
      <x:alignment horizontal="left" vertical="center" wrapText="1"/>
    </x:xf>
    <x:xf numFmtId="0" fontId="4" fillId="9" borderId="2" xfId="0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center" vertical="center" wrapText="1"/>
    </x:xf>
    <x:xf numFmtId="0" fontId="12" fillId="3" borderId="1" xfId="0" applyFont="1" applyFill="1" applyBorder="1" applyAlignment="1">
      <x:alignment horizontal="center" vertical="center" wrapText="1"/>
    </x:xf>
    <x:xf numFmtId="0" fontId="12" fillId="31" borderId="1" xfId="0" applyFont="1" applyFill="1" applyBorder="1" applyAlignment="1">
      <x:alignment horizontal="center" vertical="center" wrapText="1"/>
    </x:xf>
    <x:xf numFmtId="0" fontId="12" fillId="30" borderId="1" xfId="0" applyFont="1" applyFill="1" applyBorder="1" applyAlignment="1">
      <x:alignment horizontal="center" vertical="center" wrapText="1"/>
    </x:xf>
    <x:xf numFmtId="0" fontId="12" fillId="32" borderId="1" xfId="0" applyFont="1" applyFill="1" applyBorder="1" applyAlignment="1">
      <x:alignment horizontal="center" vertical="center" wrapText="1"/>
    </x:xf>
    <x:xf numFmtId="0" fontId="12" fillId="14" borderId="1" xfId="0" applyFont="1" applyFill="1" applyBorder="1" applyAlignment="1">
      <x:alignment horizontal="center" vertical="center" wrapText="1"/>
    </x:xf>
    <x:xf numFmtId="0" fontId="12" fillId="15" borderId="1" xfId="0" applyFont="1" applyFill="1" applyBorder="1" applyAlignment="1">
      <x:alignment horizontal="center" vertical="center" wrapText="1"/>
    </x:xf>
    <x:xf numFmtId="0" fontId="12" fillId="16" borderId="1" xfId="0" applyFont="1" applyFill="1" applyBorder="1" applyAlignment="1">
      <x:alignment horizontal="center" vertical="center" wrapText="1"/>
    </x:xf>
    <x:xf numFmtId="0" fontId="12" fillId="17" borderId="1" xfId="0" applyFont="1" applyFill="1" applyBorder="1" applyAlignment="1">
      <x:alignment horizontal="center" vertical="center" wrapText="1"/>
    </x:xf>
    <x:xf numFmtId="0" fontId="12" fillId="18" borderId="1" xfId="0" applyFont="1" applyFill="1" applyBorder="1" applyAlignment="1">
      <x:alignment horizontal="center" vertical="center" wrapText="1"/>
    </x:xf>
    <x:xf numFmtId="0" fontId="12" fillId="28" borderId="1" xfId="0" applyFont="1" applyFill="1" applyBorder="1" applyAlignment="1">
      <x:alignment horizontal="center" vertical="center" wrapText="1"/>
    </x:xf>
    <x:xf numFmtId="0" fontId="7" fillId="4" borderId="1" xfId="0" applyFont="1" applyFill="1" applyBorder="1" applyAlignment="1">
      <x:alignment horizontal="center" vertical="center"/>
    </x:xf>
    <x:xf numFmtId="0" fontId="11" fillId="33" borderId="1" xfId="0" applyFont="1" applyFill="1" applyBorder="1" applyAlignment="1">
      <x:alignment horizontal="center" vertical="center" wrapText="1"/>
    </x:xf>
    <x:xf numFmtId="0" fontId="11" fillId="31" borderId="1" xfId="0" applyFont="1" applyFill="1" applyBorder="1" applyAlignment="1">
      <x:alignment horizontal="center" vertical="center" wrapText="1"/>
    </x:xf>
    <x:xf numFmtId="0" fontId="11" fillId="34" borderId="1" xfId="0" applyFont="1" applyFill="1" applyBorder="1" applyAlignment="1">
      <x:alignment horizontal="center" vertical="center" wrapText="1"/>
    </x:xf>
    <x:xf numFmtId="0" fontId="11" fillId="35" borderId="1" xfId="0" applyFont="1" applyFill="1" applyBorder="1" applyAlignment="1">
      <x:alignment horizontal="center" vertical="center" wrapText="1"/>
    </x:xf>
    <x:xf numFmtId="0" fontId="11" fillId="32" borderId="1" xfId="0" applyFont="1" applyFill="1" applyBorder="1" applyAlignment="1">
      <x:alignment horizontal="center" vertical="center" wrapText="1"/>
    </x:xf>
    <x:xf numFmtId="0" fontId="8" fillId="36" borderId="1" xfId="0" applyFont="1" applyFill="1" applyBorder="1" applyAlignment="1">
      <x:alignment horizontal="center" vertical="center" wrapText="1"/>
    </x:xf>
    <x:xf numFmtId="0" fontId="8" fillId="4" borderId="1" xfId="0" applyFont="1" applyFill="1" applyBorder="1" applyAlignment="1">
      <x:alignment horizontal="center" vertical="center" wrapText="1"/>
    </x:xf>
    <x:xf numFmtId="2" fontId="13" fillId="19" borderId="2" xfId="0" applyNumberFormat="1" applyFont="1" applyFill="1" applyBorder="1" applyAlignment="1">
      <x:alignment horizontal="center" vertical="center" wrapText="1"/>
    </x:xf>
    <x:xf numFmtId="2" fontId="5" fillId="20" borderId="2" xfId="0" applyNumberFormat="1" applyFont="1" applyFill="1" applyBorder="1" applyAlignment="1">
      <x:alignment horizontal="center" vertical="center" wrapText="1"/>
    </x:xf>
    <x:xf numFmtId="2" fontId="13" fillId="20" borderId="2" xfId="0" applyNumberFormat="1" applyFont="1" applyFill="1" applyBorder="1" applyAlignment="1">
      <x:alignment horizontal="center" vertical="center" wrapText="1"/>
    </x:xf>
    <x:xf numFmtId="0" fontId="3" fillId="36" borderId="1" xfId="0" applyFont="1" applyFill="1" applyBorder="1" applyAlignment="1">
      <x:alignment horizontal="left" vertical="center"/>
    </x:xf>
    <x:xf numFmtId="2" fontId="8" fillId="30" borderId="2" xfId="0" applyNumberFormat="1" applyFont="1" applyFill="1" applyBorder="1" applyAlignment="1">
      <x:alignment horizontal="center" vertical="center" wrapText="1"/>
    </x:xf>
    <x:xf numFmtId="164" fontId="8" fillId="3" borderId="2" xfId="0" applyNumberFormat="1" applyFont="1" applyFill="1" applyBorder="1" applyAlignment="1">
      <x:alignment horizontal="center" vertical="center" wrapText="1"/>
    </x:xf>
    <x:xf numFmtId="0" fontId="11" fillId="37" borderId="1" xfId="0" applyFont="1" applyFill="1" applyBorder="1" applyAlignment="1">
      <x:alignment horizontal="center" vertical="center" wrapText="1"/>
    </x:xf>
    <x:xf numFmtId="0" fontId="11" fillId="38" borderId="1" xfId="0" applyFont="1" applyFill="1" applyBorder="1" applyAlignment="1">
      <x:alignment horizontal="center" vertical="center" wrapText="1"/>
    </x:xf>
    <x:xf numFmtId="0" fontId="11" fillId="39" borderId="1" xfId="0" applyFont="1" applyFill="1" applyBorder="1" applyAlignment="1">
      <x:alignment horizontal="center" vertical="center" wrapText="1"/>
    </x:xf>
    <x:xf numFmtId="0" fontId="11" fillId="40" borderId="1" xfId="0" applyFont="1" applyFill="1" applyBorder="1" applyAlignment="1">
      <x:alignment horizontal="center" vertical="center" wrapText="1"/>
    </x:xf>
    <x:xf numFmtId="0" fontId="11" fillId="41" borderId="1" xfId="0" applyFont="1" applyFill="1" applyBorder="1" applyAlignment="1">
      <x:alignment horizontal="center" vertical="center" wrapText="1"/>
    </x:xf>
    <x:xf numFmtId="0" fontId="11" fillId="42" borderId="1" xfId="0" applyFont="1" applyFill="1" applyBorder="1" applyAlignment="1">
      <x:alignment horizontal="center" vertical="center" wrapText="1"/>
    </x:xf>
    <x:xf numFmtId="0" fontId="11" fillId="43" borderId="1" xfId="0" applyFont="1" applyFill="1" applyBorder="1" applyAlignment="1">
      <x:alignment horizontal="center" vertical="center" wrapText="1"/>
    </x:xf>
    <x:xf numFmtId="0" fontId="11" fillId="44" borderId="1" xfId="0" applyFont="1" applyFill="1" applyBorder="1" applyAlignment="1">
      <x:alignment horizontal="center" vertical="center" wrapText="1"/>
    </x:xf>
    <x:xf numFmtId="2" fontId="6" fillId="19" borderId="2" xfId="0" applyNumberFormat="1" applyFont="1" applyFill="1" applyBorder="1" applyAlignment="1">
      <x:alignment horizontal="center" vertical="center" wrapText="1"/>
    </x:xf>
    <x:xf numFmtId="2" fontId="6" fillId="20" borderId="2" xfId="0" applyNumberFormat="1" applyFont="1" applyFill="1" applyBorder="1" applyAlignment="1">
      <x:alignment horizontal="center" vertical="center" wrapText="1"/>
    </x:xf>
    <x:xf numFmtId="2" fontId="8" fillId="2" borderId="2" xfId="0" applyNumberFormat="1" applyFont="1" applyFill="1" applyBorder="1" applyAlignment="1">
      <x:alignment horizontal="center" vertical="center" wrapText="1"/>
    </x:xf>
    <x:xf numFmtId="164" fontId="8" fillId="45" borderId="2" xfId="0" applyNumberFormat="1" applyFont="1" applyFill="1" applyBorder="1" applyAlignment="1">
      <x:alignment horizontal="center" vertical="center" wrapText="1"/>
    </x:xf>
    <x:xf numFmtId="0" fontId="5" fillId="46" borderId="2" xfId="0" applyFont="1" applyFill="1" applyBorder="1" applyAlignment="1">
      <x:alignment horizontal="center" vertical="center" wrapText="1"/>
    </x:xf>
    <x:xf numFmtId="0" fontId="5" fillId="46" borderId="2" xfId="0" applyFont="1" applyFill="1" applyBorder="1" applyAlignment="1">
      <x:alignment horizontal="left" vertical="center" wrapText="1"/>
    </x:xf>
    <x:xf numFmtId="0" fontId="5" fillId="19" borderId="2" xfId="0" applyFont="1" applyFill="1" applyBorder="1" applyAlignment="1">
      <x:alignment horizontal="left" vertical="center" wrapText="1"/>
    </x:xf>
    <x:xf numFmtId="0" fontId="6" fillId="47" borderId="2" xfId="0" applyFont="1" applyFill="1" applyBorder="1" applyAlignment="1">
      <x:alignment horizontal="center" vertical="center" wrapText="1"/>
    </x:xf>
    <x:xf numFmtId="0" fontId="4" fillId="47" borderId="2" xfId="0" applyFont="1" applyFill="1" applyBorder="1" applyAlignment="1">
      <x:alignment horizontal="center" vertical="center" wrapText="1"/>
    </x:xf>
    <x:xf numFmtId="0" fontId="5" fillId="47" borderId="2" xfId="0" applyFont="1" applyFill="1" applyBorder="1" applyAlignment="1">
      <x:alignment horizontal="left" vertical="center" wrapText="1"/>
    </x:xf>
    <x:xf numFmtId="0" fontId="5" fillId="47" borderId="2" xfId="0" applyFont="1" applyFill="1" applyBorder="1" applyAlignment="1">
      <x:alignment horizontal="center" vertical="center" wrapText="1"/>
    </x:xf>
    <x:xf numFmtId="0" fontId="5" fillId="21" borderId="2" xfId="0" applyFont="1" applyFill="1" applyBorder="1" applyAlignment="1">
      <x:alignment horizontal="center" vertical="center" wrapText="1"/>
    </x:xf>
    <x:xf numFmtId="0" fontId="4" fillId="21" borderId="2" xfId="0" applyFont="1" applyFill="1" applyBorder="1" applyAlignment="1">
      <x:alignment horizontal="center" vertical="center" wrapText="1"/>
    </x:xf>
    <x:xf numFmtId="0" fontId="14" fillId="24" borderId="2" xfId="0" applyFont="1" applyFill="1" applyBorder="1" applyAlignment="1">
      <x:alignment horizontal="center" vertical="center" wrapText="1"/>
    </x:xf>
    <x:xf numFmtId="0" fontId="4" fillId="24" borderId="2" xfId="0" applyFont="1" applyFill="1" applyBorder="1" applyAlignment="1">
      <x:alignment horizontal="center" vertical="center" wrapText="1"/>
    </x:xf>
    <x:xf numFmtId="0" fontId="5" fillId="24" borderId="2" xfId="0" applyFont="1" applyFill="1" applyBorder="1" applyAlignment="1">
      <x:alignment horizontal="left" vertical="center" wrapText="1"/>
    </x:xf>
    <x:xf numFmtId="0" fontId="15" fillId="24" borderId="2" xfId="0" applyFont="1" applyFill="1" applyBorder="1" applyAlignment="1">
      <x:alignment horizontal="center" vertical="center" wrapText="1"/>
    </x:xf>
    <x:xf numFmtId="0" fontId="14" fillId="48" borderId="2" xfId="0" applyFont="1" applyFill="1" applyBorder="1" applyAlignment="1">
      <x:alignment horizontal="center" vertical="center" wrapText="1"/>
    </x:xf>
    <x:xf numFmtId="0" fontId="4" fillId="48" borderId="2" xfId="0" applyFont="1" applyFill="1" applyBorder="1" applyAlignment="1">
      <x:alignment horizontal="center" vertical="center" wrapText="1"/>
    </x:xf>
    <x:xf numFmtId="0" fontId="5" fillId="48" borderId="2" xfId="0" applyFont="1" applyFill="1" applyBorder="1" applyAlignment="1">
      <x:alignment horizontal="left" vertical="center" wrapText="1"/>
    </x:xf>
    <x:xf numFmtId="0" fontId="5" fillId="48" borderId="2" xfId="0" applyFont="1" applyFill="1" applyBorder="1" applyAlignment="1">
      <x:alignment horizontal="center" vertical="center" wrapText="1"/>
    </x:xf>
    <x:xf numFmtId="0" fontId="16" fillId="48" borderId="2" xfId="0" applyFont="1" applyFill="1" applyBorder="1" applyAlignment="1">
      <x:alignment horizontal="center" vertical="center" wrapText="1"/>
    </x:xf>
    <x:xf numFmtId="0" fontId="14" fillId="27" borderId="2" xfId="0" applyFont="1" applyFill="1" applyBorder="1" applyAlignment="1">
      <x:alignment horizontal="center" vertical="center" wrapText="1"/>
    </x:xf>
    <x:xf numFmtId="0" fontId="4" fillId="27" borderId="2" xfId="0" applyFont="1" applyFill="1" applyBorder="1" applyAlignment="1">
      <x:alignment horizontal="center" vertical="center" wrapText="1"/>
    </x:xf>
    <x:xf numFmtId="0" fontId="5" fillId="27" borderId="2" xfId="0" applyFont="1" applyFill="1" applyBorder="1" applyAlignment="1">
      <x:alignment horizontal="left" vertical="center" wrapText="1"/>
    </x:xf>
    <x:xf numFmtId="0" fontId="17" fillId="27" borderId="2" xfId="0" applyFont="1" applyFill="1" applyBorder="1" applyAlignment="1">
      <x:alignment horizontal="center" vertical="center" wrapText="1"/>
    </x:xf>
    <x:xf numFmtId="0" fontId="14" fillId="26" borderId="2" xfId="0" applyFont="1" applyFill="1" applyBorder="1" applyAlignment="1">
      <x:alignment horizontal="center" vertical="center" wrapText="1"/>
    </x:xf>
    <x:xf numFmtId="0" fontId="18" fillId="26" borderId="2" xfId="0" applyFont="1" applyFill="1" applyBorder="1" applyAlignment="1">
      <x:alignment horizontal="center" vertical="center" wrapText="1"/>
    </x:xf>
    <x:xf numFmtId="0" fontId="14" fillId="25" borderId="2" xfId="0" applyFont="1" applyFill="1" applyBorder="1" applyAlignment="1">
      <x:alignment horizontal="center" vertical="center" wrapText="1"/>
    </x:xf>
    <x:xf numFmtId="0" fontId="4" fillId="25" borderId="2" xfId="0" applyFont="1" applyFill="1" applyBorder="1" applyAlignment="1">
      <x:alignment horizontal="center" vertical="center" wrapText="1"/>
    </x:xf>
    <x:xf numFmtId="0" fontId="5" fillId="25" borderId="2" xfId="0" applyFont="1" applyFill="1" applyBorder="1" applyAlignment="1">
      <x:alignment horizontal="left" vertical="center" wrapText="1"/>
    </x:xf>
    <x:xf numFmtId="0" fontId="19" fillId="25" borderId="2" xfId="0" applyFont="1" applyFill="1" applyBorder="1" applyAlignment="1">
      <x:alignment horizontal="center" vertical="center" wrapText="1"/>
    </x:xf>
    <x:xf numFmtId="0" fontId="20" fillId="26" borderId="2" xfId="0" applyFont="1" applyFill="1" applyBorder="1" applyAlignment="1">
      <x:alignment horizontal="center" vertical="center" wrapText="1"/>
    </x:xf>
    <x:xf numFmtId="0" fontId="10" fillId="26" borderId="2" xfId="0" applyFont="1" applyFill="1" applyBorder="1" applyAlignment="1">
      <x:alignment horizontal="center" vertical="center" wrapText="1"/>
    </x:xf>
    <x:xf numFmtId="0" fontId="20" fillId="9" borderId="2" xfId="0" applyFont="1" applyFill="1" applyBorder="1" applyAlignment="1">
      <x:alignment horizontal="center" vertical="center" wrapText="1"/>
    </x:xf>
    <x:xf numFmtId="0" fontId="5" fillId="9" borderId="2" xfId="0" applyFont="1" applyFill="1" applyBorder="1" applyAlignment="1">
      <x:alignment horizontal="center" vertical="center" wrapText="1"/>
    </x:xf>
    <x:xf numFmtId="0" fontId="10" fillId="9" borderId="2" xfId="0" applyFont="1" applyFill="1" applyBorder="1" applyAlignment="1">
      <x:alignment horizontal="center" vertical="center" wrapText="1"/>
    </x:xf>
    <x:xf numFmtId="0" fontId="11" fillId="36" borderId="1" xfId="0" applyFont="1" applyFill="1" applyBorder="1" applyAlignment="1">
      <x:alignment horizontal="center" vertical="center" wrapText="1"/>
    </x:xf>
    <x:xf numFmtId="164" fontId="5" fillId="19" borderId="2" xfId="0" applyNumberFormat="1" applyFont="1" applyFill="1" applyBorder="1" applyAlignment="1">
      <x:alignment horizontal="center" vertical="center" wrapText="1"/>
    </x:xf>
    <x:xf numFmtId="2" fontId="4" fillId="50" borderId="2" xfId="0" applyNumberFormat="1" applyFont="1" applyFill="1" applyBorder="1" applyAlignment="1">
      <x:alignment horizontal="center" vertical="center" wrapText="1"/>
    </x:xf>
    <x:xf numFmtId="2" fontId="4" fillId="51" borderId="2" xfId="0" applyNumberFormat="1" applyFont="1" applyFill="1" applyBorder="1" applyAlignment="1">
      <x:alignment horizontal="center" vertical="center" wrapText="1"/>
    </x:xf>
    <x:xf numFmtId="0" fontId="22" fillId="0" borderId="0" xfId="0" applyFont="1"/>
    <x:xf numFmtId="0" fontId="23" fillId="0" borderId="0" xfId="0" applyFont="1"/>
    <x:xf numFmtId="0" fontId="24" fillId="0" borderId="0" xfId="0" applyFont="1"/>
    <x:xf numFmtId="0" fontId="25" fillId="0" borderId="0" xfId="0" applyFont="1"/>
    <x:xf numFmtId="0" fontId="26" fillId="0" borderId="0" xfId="0" applyFont="1"/>
    <x:xf numFmtId="0" fontId="27" fillId="0" borderId="0" xfId="0" applyFont="1"/>
    <x:xf numFmtId="0" fontId="3" fillId="4" borderId="3" xfId="0" applyFont="1" applyFill="1" applyBorder="1" applyAlignment="1">
      <x:alignment horizontal="center" vertical="center"/>
    </x:xf>
    <x:xf numFmtId="0" fontId="0" fillId="0" borderId="5" xfId="0" applyBorder="1"/>
    <x:xf numFmtId="0" fontId="2" fillId="3" borderId="0" xfId="0" applyFont="1" applyFill="1" applyAlignment="1">
      <x:alignment horizontal="center" vertical="center"/>
    </x:xf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7" fillId="2" borderId="1" xfId="0" applyFont="1" applyFill="1" applyBorder="1" applyAlignment="1">
      <x:alignment horizontal="center" vertical="center"/>
    </x:xf>
    <x:xf numFmtId="0" fontId="0" fillId="0" borderId="6" xfId="0" applyBorder="1"/>
    <x:xf numFmtId="0" fontId="3" fillId="4" borderId="1" xfId="0" applyFont="1" applyFill="1" applyBorder="1" applyAlignment="1">
      <x:alignment horizontal="center" vertical="center"/>
    </x:xf>
    <x:xf numFmtId="0" fontId="7" fillId="12" borderId="1" xfId="0" applyFont="1" applyFill="1" applyBorder="1" applyAlignment="1">
      <x:alignment horizontal="center" vertical="center"/>
    </x:xf>
    <x:xf numFmtId="0" fontId="7" fillId="13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left" vertical="center"/>
    </x:xf>
    <x:xf numFmtId="0" fontId="5" fillId="9" borderId="2" xfId="0" applyFont="1" applyFill="1" applyBorder="1" applyAlignment="1">
      <x:alignment horizontal="left" vertical="center" wrapText="1"/>
    </x:xf>
    <x:xf numFmtId="0" fontId="0" fillId="0" borderId="7" xfId="0" applyBorder="1"/>
    <x:xf numFmtId="0" fontId="0" fillId="0" borderId="8" xfId="0" applyBorder="1"/>
    <x:xf numFmtId="0" fontId="5" fillId="26" borderId="2" xfId="0" applyFont="1" applyFill="1" applyBorder="1" applyAlignment="1">
      <x:alignment horizontal="left" vertical="center" wrapText="1"/>
    </x:xf>
    <x:xf numFmtId="0" fontId="7" fillId="28" borderId="1" xfId="0" applyFont="1" applyFill="1" applyBorder="1" applyAlignment="1">
      <x:alignment horizontal="center" vertical="center"/>
    </x:xf>
    <x:xf numFmtId="0" fontId="7" fillId="30" borderId="1" xfId="0" applyFont="1" applyFill="1" applyBorder="1" applyAlignment="1">
      <x:alignment horizontal="center" vertical="center"/>
    </x:xf>
    <x:xf numFmtId="0" fontId="7" fillId="3" borderId="1" xfId="0" applyFont="1" applyFill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3" fillId="28" borderId="1" xfId="0" applyFont="1" applyFill="1" applyBorder="1" applyAlignment="1">
      <x:alignment horizontal="center" vertical="center"/>
    </x:xf>
    <x:xf numFmtId="0" fontId="3" fillId="12" borderId="1" xfId="0" applyFont="1" applyFill="1" applyBorder="1" applyAlignment="1">
      <x:alignment horizontal="center" vertical="center"/>
    </x:xf>
    <x:xf numFmtId="0" fontId="5" fillId="21" borderId="2" xfId="0" applyFont="1" applyFill="1" applyBorder="1" applyAlignment="1">
      <x:alignment horizontal="left" vertical="center" wrapText="1"/>
    </x:xf>
    <x:xf numFmtId="0" fontId="3" fillId="49" borderId="1" xfId="0" applyFont="1" applyFill="1" applyBorder="1" applyAlignment="1">
      <x:alignment horizontal="center" vertical="center"/>
    </x:xf>
    <x:xf numFmtId="0" fontId="7" fillId="36" borderId="1" xfId="0" applyFont="1" applyFill="1" applyBorder="1" applyAlignment="1">
      <x:alignment horizontal="center" vertical="center"/>
    </x:xf>
    <x:xf numFmtId="0" fontId="21" fillId="52" borderId="1" xfId="0" applyFont="1" applyFill="1" applyBorder="1" applyAlignment="1">
      <x:alignment horizontal="center" vertical="center"/>
    </x:xf>
    <x:xf numFmtId="0" fontId="3" fillId="49" borderId="3" xfId="0" applyFont="1" applyFill="1" applyBorder="1" applyAlignment="1">
      <x:alignment horizontal="center" vertical="center"/>
    </x:xf>
    <x:xf numFmtId="0" fontId="3" fillId="30" borderId="1" xfId="0" applyFont="1" applyFill="1" applyBorder="1" applyAlignment="1">
      <x:alignment horizontal="center" vertical="center"/>
    </x:xf>
    <x:xf numFmtId="0" fontId="3" fillId="2" borderId="3" xfId="0" applyFont="1" applyFill="1" applyBorder="1" applyAlignment="1">
      <x:alignment horizontal="center" vertical="center"/>
    </x:xf>
    <x:xf numFmtId="0" fontId="5" fillId="46" borderId="4" xfId="0" applyFont="1" applyFill="1" applyBorder="1" applyAlignment="1">
      <x:alignment horizontal="left" vertical="center" wrapText="1"/>
    </x:xf>
    <x:xf numFmtId="0" fontId="3" fillId="30" borderId="3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28" fillId="2" borderId="0" xfId="0" applyNumberFormat="1" applyFont="1" applyFill="1" applyBorder="1" applyAlignment="1">
      <x:alignment horizontal="center" vertical="center"/>
    </x:xf>
    <x:xf numFmtId="0" fontId="29" fillId="0" borderId="0" xfId="0" applyNumberFormat="1" applyFont="1" applyFill="1" applyBorder="1"/>
  </x:cellXfs>
  <x:cellStyles count="1">
    <x:cellStyle name="Normal" xfId="0"/>
  </x:cellStyles>
  <x:colors>
    <x:indexedColors>
      <x:rgbColor rgb="FF000000"/>
      <x:rgbColor rgb="FFFFFFFF"/>
      <x:rgbColor rgb="FFC62828"/>
      <x:rgbColor rgb="FFF5F0FF"/>
      <x:rgbColor rgb="FFF8F9FF"/>
      <x:rgbColor rgb="FFFFF3E0"/>
      <x:rgbColor rgb="FFB7461D"/>
      <x:rgbColor rgb="FFF0FFF4"/>
      <x:rgbColor rgb="FF5D4037"/>
      <x:rgbColor rgb="FF1A6B3C"/>
      <x:rgbColor rgb="FF533483"/>
      <x:rgbColor rgb="FF7E4E00"/>
      <x:rgbColor rgb="FF880E4F"/>
      <x:rgbColor rgb="FF00796B"/>
      <x:rgbColor rgb="FFCCCCCC"/>
      <x:rgbColor rgb="FF4B8F46"/>
      <x:rgbColor rgb="FFE8F0FF"/>
      <x:rgbColor rgb="FF7B2D8B"/>
      <x:rgbColor rgb="FFFFF9C4"/>
      <x:rgbColor rgb="FFE3F2FD"/>
      <x:rgbColor rgb="FF7B1FA2"/>
      <x:rgbColor rgb="FFE65100"/>
      <x:rgbColor rgb="FF1565C0"/>
      <x:rgbColor rgb="FFE0E0E0"/>
      <x:rgbColor rgb="FFFAFAFA"/>
      <x:rgbColor rgb="FFFFF0F5"/>
      <x:rgbColor rgb="FFFEF9E7"/>
      <x:rgbColor rgb="FFF0F4FF"/>
      <x:rgbColor rgb="FF6A1B9A"/>
      <x:rgbColor rgb="FFC0392B"/>
      <x:rgbColor rgb="FF2B80B9"/>
      <x:rgbColor rgb="FFF8FBFF"/>
      <x:rgbColor rgb="FF00B4D8"/>
      <x:rgbColor rgb="FFE8F4F8"/>
      <x:rgbColor rgb="FFE8F5E9"/>
      <x:rgbColor rgb="FFFFF3CD"/>
      <x:rgbColor rgb="FFE8EAF6"/>
      <x:rgbColor rgb="FFF3E5F5"/>
      <x:rgbColor rgb="FFF0E8FF"/>
      <x:rgbColor rgb="FFF0E6D3"/>
      <x:rgbColor rgb="FF1976D2"/>
      <x:rgbColor rgb="FF2ECC71"/>
      <x:rgbColor rgb="FFFFF5E8"/>
      <x:rgbColor rgb="FFFFEBEE"/>
      <x:rgbColor rgb="FFE67E22"/>
      <x:rgbColor rgb="FFF57C00"/>
      <x:rgbColor rgb="FF455A64"/>
      <x:rgbColor rgb="FF2E7D32"/>
      <x:rgbColor rgb="FF0F3460"/>
      <x:rgbColor rgb="FF27AE60"/>
      <x:rgbColor rgb="FF0A4A2A"/>
      <x:rgbColor rgb="FF1A1A2E"/>
      <x:rgbColor rgb="FFB5451B"/>
      <x:rgbColor rgb="FF8E44AD"/>
      <x:rgbColor rgb="FF2D3561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bcc0e9ac64f83" /><Relationship Type="http://schemas.openxmlformats.org/officeDocument/2006/relationships/theme" Target="/xl/theme/theme1.xml" Id="R585331b88c9a4740" /><Relationship Type="http://schemas.openxmlformats.org/officeDocument/2006/relationships/sharedStrings" Target="/xl/sharedStrings.xml" Id="Re5d4a18b109c4f4f" /><Relationship Type="http://schemas.openxmlformats.org/officeDocument/2006/relationships/worksheet" Target="/xl/worksheets/sheet1.xml" Id="Rc38b6198e3a84c24" /><Relationship Type="http://schemas.openxmlformats.org/officeDocument/2006/relationships/worksheet" Target="/xl/worksheets/sheet2.xml" Id="R64d25834f9314ce9" /><Relationship Type="http://schemas.openxmlformats.org/officeDocument/2006/relationships/worksheet" Target="/xl/worksheets/sheet3.xml" Id="R873ae98c9f0d4d12" /><Relationship Type="http://schemas.openxmlformats.org/officeDocument/2006/relationships/worksheet" Target="/xl/worksheets/sheet4.xml" Id="Rd8fd89ee5c7b4e99" /><Relationship Type="http://schemas.openxmlformats.org/officeDocument/2006/relationships/worksheet" Target="/xl/worksheets/sheet5.xml" Id="Rb122d0a394204648" /><Relationship Type="http://schemas.openxmlformats.org/officeDocument/2006/relationships/worksheet" Target="/xl/worksheets/sheet6.xml" Id="R5811fedce3c5415a" /><Relationship Type="http://schemas.openxmlformats.org/officeDocument/2006/relationships/worksheet" Target="/xl/worksheets/sheet7.xml" Id="Rc92d81fcb4df4a9d" /><Relationship Type="http://schemas.openxmlformats.org/officeDocument/2006/relationships/worksheet" Target="/xl/worksheets/sheet8.xml" Id="Rb3bf8c20369b431b" /><Relationship Type="http://schemas.openxmlformats.org/officeDocument/2006/relationships/worksheet" Target="/xl/worksheets/sheet9.xml" Id="R4eb434b9350a4aac" /><Relationship Type="http://schemas.openxmlformats.org/officeDocument/2006/relationships/worksheet" Target="/xl/worksheets/sheet10.xml" Id="R7e278645bf414a27" /><Relationship Type="http://schemas.openxmlformats.org/officeDocument/2006/relationships/worksheet" Target="/xl/worksheets/sheet11.xml" Id="R2da7492919cb49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c8a839c9ad4fc6" /><Relationship Type="http://schemas.openxmlformats.org/officeDocument/2006/relationships/chart" Target="/xl/drawings/charts/chart2.xml" Id="R1911c5e762024a6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ff4955d2b194c74" /><Relationship Type="http://schemas.openxmlformats.org/officeDocument/2006/relationships/chart" Target="/xl/drawings/charts/chart4.xml" Id="R0f2def3e481a4e7e" /><Relationship Type="http://schemas.openxmlformats.org/officeDocument/2006/relationships/chart" Target="/xl/drawings/charts/chart5.xml" Id="Rc52eaf0b272d4b8d" /><Relationship Type="http://schemas.openxmlformats.org/officeDocument/2006/relationships/chart" Target="/xl/drawings/charts/chart6.xml" Id="Rd1d276a9427941ee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spc="-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MAIA-2 por Sessão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spc="-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radarChart>
        <c:radarStyle val="standard"/>
        <c:ser>
          <c:idx val="0"/>
          <c:order val="0"/>
          <c:tx>
            <c:strRef>
              <c:f>'📊 Dashboard S1-S4-S8'!$C$4</c:f>
              <c:strCache>
                <c:ptCount val="1"/>
                <c:pt idx="0">
                  <c:v>S1</c:v>
                </c:pt>
              </c:strCache>
            </c:strRef>
          </c:tx>
          <c: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spc="-1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</c:dLbls>
          <c:cat>
            <c:strRef>
              <c:f>'📊 Dashboard S1-S4-S8'!$B$5:$B$12</c:f>
              <c:strCache>
                <c:ptCount val="8"/>
                <c:pt idx="0">
                  <c:v>Noticing</c:v>
                </c:pt>
                <c:pt idx="1">
                  <c:v>Not-Distract</c:v>
                </c:pt>
                <c:pt idx="2">
                  <c:v>Not-Worry</c:v>
                </c:pt>
                <c:pt idx="3">
                  <c:v>Att.Reg</c:v>
                </c:pt>
                <c:pt idx="4">
                  <c:v>Emo.Aware</c:v>
                </c:pt>
                <c:pt idx="5">
                  <c:v>Self-Reg</c:v>
                </c:pt>
                <c:pt idx="6">
                  <c:v>Body-Listen</c:v>
                </c:pt>
                <c:pt idx="7">
                  <c:v>Trusting</c:v>
                </c:pt>
              </c:strCache>
            </c:strRef>
          </c:cat>
          <c:val>
            <c:numRef>
              <c:f>'📊 Dashboard S1-S4-S8'!$C$5:$C$12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'📊 Dashboard S1-S4-S8'!$D$4</c:f>
              <c:strCache>
                <c:ptCount val="1"/>
                <c:pt idx="0">
                  <c:v>S4</c:v>
                </c:pt>
              </c:strCache>
            </c:strRef>
          </c:tx>
          <c:spPr>
            <a:solidFill xmlns:a="http://schemas.openxmlformats.org/drawingml/2006/main">
              <a:srgbClr val="C0504D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spc="-1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</c:dLbls>
          <c:cat>
            <c:strRef>
              <c:f>'📊 Dashboard S1-S4-S8'!$B$5:$B$12</c:f>
              <c:strCache>
                <c:ptCount val="8"/>
                <c:pt idx="0">
                  <c:v>Noticing</c:v>
                </c:pt>
                <c:pt idx="1">
                  <c:v>Not-Distract</c:v>
                </c:pt>
                <c:pt idx="2">
                  <c:v>Not-Worry</c:v>
                </c:pt>
                <c:pt idx="3">
                  <c:v>Att.Reg</c:v>
                </c:pt>
                <c:pt idx="4">
                  <c:v>Emo.Aware</c:v>
                </c:pt>
                <c:pt idx="5">
                  <c:v>Self-Reg</c:v>
                </c:pt>
                <c:pt idx="6">
                  <c:v>Body-Listen</c:v>
                </c:pt>
                <c:pt idx="7">
                  <c:v>Trusting</c:v>
                </c:pt>
              </c:strCache>
            </c:strRef>
          </c:cat>
          <c:val>
            <c:numRef>
              <c:f>'📊 Dashboard S1-S4-S8'!$D$5:$D$12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'📊 Dashboard S1-S4-S8'!$E$4</c:f>
              <c:strCache>
                <c:ptCount val="1"/>
                <c:pt idx="0">
                  <c:v>S8</c:v>
                </c:pt>
              </c:strCache>
            </c:strRef>
          </c:tx>
          <c:spPr>
            <a:solidFill xmlns:a="http://schemas.openxmlformats.org/drawingml/2006/main">
              <a:srgbClr val="9BBB59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spc="-1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</c:dLbls>
          <c:cat>
            <c:strRef>
              <c:f>'📊 Dashboard S1-S4-S8'!$B$5:$B$12</c:f>
              <c:strCache>
                <c:ptCount val="8"/>
                <c:pt idx="0">
                  <c:v>Noticing</c:v>
                </c:pt>
                <c:pt idx="1">
                  <c:v>Not-Distract</c:v>
                </c:pt>
                <c:pt idx="2">
                  <c:v>Not-Worry</c:v>
                </c:pt>
                <c:pt idx="3">
                  <c:v>Att.Reg</c:v>
                </c:pt>
                <c:pt idx="4">
                  <c:v>Emo.Aware</c:v>
                </c:pt>
                <c:pt idx="5">
                  <c:v>Self-Reg</c:v>
                </c:pt>
                <c:pt idx="6">
                  <c:v>Body-Listen</c:v>
                </c:pt>
                <c:pt idx="7">
                  <c:v>Trusting</c:v>
                </c:pt>
              </c:strCache>
            </c:strRef>
          </c:cat>
          <c:val>
            <c:numRef>
              <c:f>'📊 Dashboard S1-S4-S8'!$E$5:$E$12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09"/>
        <c:axId val="19661119"/>
      </c:radarChart>
      <c:catAx>
        <c:axId val="160909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noFill/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spc="-1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9661119"/>
        <c:crosses val="autoZero"/>
        <c:lblOffset val="100"/>
      </c:catAx>
      <c:valAx>
        <c:axId val="19661119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spc="-1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60909"/>
        <c:crosses val="autoZero"/>
        <c:crossBetween val="midCat"/>
      </c:valAx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spc="-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spc="-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FFMQ-BR por Sessão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spc="-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 S1-S4-S8'!$H$4</c:f>
              <c:strCache>
                <c:ptCount val="1"/>
                <c:pt idx="0">
                  <c:v>S1</c:v>
                </c:pt>
              </c:strCache>
            </c:strRef>
          </c:tx>
          <c: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spc="-1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</c:dLbls>
          <c:cat>
            <c:strRef>
              <c:f>'📊 Dashboard S1-S4-S8'!$G$5:$G$10</c:f>
              <c:strCache>
                <c:ptCount val="6"/>
                <c:pt idx="0">
                  <c:v>Observar</c:v>
                </c:pt>
                <c:pt idx="1">
                  <c:v>Descrever</c:v>
                </c:pt>
                <c:pt idx="2">
                  <c:v>Agir c/Consc</c:v>
                </c:pt>
                <c:pt idx="3">
                  <c:v>Não Julgar</c:v>
                </c:pt>
                <c:pt idx="4">
                  <c:v>Não Reagir</c:v>
                </c:pt>
                <c:pt idx="5">
                  <c:v>TOTAL</c:v>
                </c:pt>
              </c:strCache>
            </c:strRef>
          </c:cat>
          <c:val>
            <c:numRef>
              <c:f>'📊 Dashboard S1-S4-S8'!$H$5:$H$10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'📊 Dashboard S1-S4-S8'!$I$4</c:f>
              <c:strCache>
                <c:ptCount val="1"/>
                <c:pt idx="0">
                  <c:v>S4</c:v>
                </c:pt>
              </c:strCache>
            </c:strRef>
          </c:tx>
          <c:spPr>
            <a:solidFill xmlns:a="http://schemas.openxmlformats.org/drawingml/2006/main">
              <a:srgbClr val="C0504D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spc="-1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</c:dLbls>
          <c:cat>
            <c:strRef>
              <c:f>'📊 Dashboard S1-S4-S8'!$G$5:$G$10</c:f>
              <c:strCache>
                <c:ptCount val="6"/>
                <c:pt idx="0">
                  <c:v>Observar</c:v>
                </c:pt>
                <c:pt idx="1">
                  <c:v>Descrever</c:v>
                </c:pt>
                <c:pt idx="2">
                  <c:v>Agir c/Consc</c:v>
                </c:pt>
                <c:pt idx="3">
                  <c:v>Não Julgar</c:v>
                </c:pt>
                <c:pt idx="4">
                  <c:v>Não Reagir</c:v>
                </c:pt>
                <c:pt idx="5">
                  <c:v>TOTAL</c:v>
                </c:pt>
              </c:strCache>
            </c:strRef>
          </c:cat>
          <c:val>
            <c:numRef>
              <c:f>'📊 Dashboard S1-S4-S8'!$I$5:$I$10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'📊 Dashboard S1-S4-S8'!$J$4</c:f>
              <c:strCache>
                <c:ptCount val="1"/>
                <c:pt idx="0">
                  <c:v>S8</c:v>
                </c:pt>
              </c:strCache>
            </c:strRef>
          </c:tx>
          <c:spPr>
            <a:solidFill xmlns:a="http://schemas.openxmlformats.org/drawingml/2006/main">
              <a:srgbClr val="9BBB59"/>
            </a:solidFill>
            <a:ln xmlns:a="http://schemas.openxmlformats.org/drawingml/2006/main" w="9360">
              <a:solidFill>
                <a:srgbClr val="F9F9F9"/>
              </a:solidFill>
              <a:prstDash val="solid"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spc="-1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</c:dLbls>
          <c:cat>
            <c:strRef>
              <c:f>'📊 Dashboard S1-S4-S8'!$G$5:$G$10</c:f>
              <c:strCache>
                <c:ptCount val="6"/>
                <c:pt idx="0">
                  <c:v>Observar</c:v>
                </c:pt>
                <c:pt idx="1">
                  <c:v>Descrever</c:v>
                </c:pt>
                <c:pt idx="2">
                  <c:v>Agir c/Consc</c:v>
                </c:pt>
                <c:pt idx="3">
                  <c:v>Não Julgar</c:v>
                </c:pt>
                <c:pt idx="4">
                  <c:v>Não Reagir</c:v>
                </c:pt>
                <c:pt idx="5">
                  <c:v>TOTAL</c:v>
                </c:pt>
              </c:strCache>
            </c:strRef>
          </c:cat>
          <c:val>
            <c:numRef>
              <c:f>'📊 Dashboard S1-S4-S8'!$J$5:$J$10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51319"/>
        <c:axId val="810317"/>
      </c:barChart>
      <c:catAx>
        <c:axId val="507513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spc="-1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810317"/>
        <c:crosses val="autoZero"/>
        <c:lblOffset val="100"/>
      </c:catAx>
      <c:valAx>
        <c:axId val="810317"/>
        <c:scaling>
          <c:orientation val="minMax"/>
          <c:max val="5"/>
          <c:min val="0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Score (1-5)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spc="-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spc="-1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50751319"/>
        <c:crosses val="autoZero"/>
        <c:crossBetween val="between"/>
      </c:valAx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spc="-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MAIA-2 — Total (0–5)</a:t>
            </a:r>
          </a:p>
        </c:rich>
      </c:tx>
      <c:overlay val="1"/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'📈 Evolução Paciente'!$E$5</c:f>
              <c:strCache>
                <c:ptCount val="1"/>
                <c:pt idx="0">
                  <c:v>MAIA-2 Total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'📈 Evolução Paciente'!$E$6:$E$35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Data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lblOffset val="100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FFMQ — Total (1–5)</a:t>
            </a:r>
          </a:p>
        </c:rich>
      </c:tx>
      <c:overlay val="1"/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'📈 Evolução Paciente'!$F$5</c:f>
              <c:strCache>
                <c:ptCount val="1"/>
                <c:pt idx="0">
                  <c:v>FFMQ Total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'📈 Evolução Paciente'!$F$6:$F$35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Data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lblOffset val="100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charts/chart5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IPS-20 — Total (0–100)</a:t>
            </a:r>
          </a:p>
        </c:rich>
      </c:tx>
      <c:overlay val="1"/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'📈 Evolução Paciente'!$G$5</c:f>
              <c:strCache>
                <c:ptCount val="1"/>
                <c:pt idx="0">
                  <c:v>IPS-20 Total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'📈 Evolução Paciente'!$G$6:$G$35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Data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lblOffset val="100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charts/chart6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GSES — Total (10–40)</a:t>
            </a:r>
          </a:p>
        </c:rich>
      </c:tx>
      <c:overlay val="1"/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'📈 Evolução Paciente'!$I$5</c:f>
              <c:strCache>
                <c:ptCount val="1"/>
                <c:pt idx="0">
                  <c:v>GSES Total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'📈 Evolução Paciente'!$I$6:$I$35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Data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lblOffset val="100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29</xdr:row>
      <xdr:rowOff>0</xdr:rowOff>
    </xdr:from>
    <xdr:to>
      <xdr:col>6</xdr:col>
      <xdr:colOff>104760</xdr:colOff>
      <xdr:row>51</xdr:row>
      <xdr:rowOff>127800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c8a839c9ad4fc6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14</xdr:col>
      <xdr:colOff>105120</xdr:colOff>
      <xdr:row>51</xdr:row>
      <xdr:rowOff>127800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11c5e762024a6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5</xdr:row>
      <xdr:rowOff>0</xdr:rowOff>
    </xdr:from>
    <xdr:ext cx="5040000" cy="288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f4955d2b194c74"/>
        </a:graphicData>
      </a:graphic>
    </xdr:graphicFrame>
    <xdr:clientData/>
  </xdr:oneCellAnchor>
  <xdr:oneCellAnchor>
    <xdr:from>
      <xdr:col>9</xdr:col>
      <xdr:colOff>0</xdr:colOff>
      <xdr:row>5</xdr:row>
      <xdr:rowOff>0</xdr:rowOff>
    </xdr:from>
    <xdr:ext cx="5040000" cy="2880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2def3e481a4e7e"/>
        </a:graphicData>
      </a:graphic>
    </xdr:graphicFrame>
    <xdr:clientData/>
  </xdr:oneCellAnchor>
  <xdr:oneCellAnchor>
    <xdr:from>
      <xdr:col>1</xdr:col>
      <xdr:colOff>0</xdr:colOff>
      <xdr:row>21</xdr:row>
      <xdr:rowOff>0</xdr:rowOff>
    </xdr:from>
    <xdr:ext cx="5040000" cy="28800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2eaf0b272d4b8d"/>
        </a:graphicData>
      </a:graphic>
    </xdr:graphicFrame>
    <xdr:clientData/>
  </xdr:oneCellAnchor>
  <xdr:oneCellAnchor>
    <xdr:from>
      <xdr:col>9</xdr:col>
      <xdr:colOff>0</xdr:colOff>
      <xdr:row>21</xdr:row>
      <xdr:rowOff>0</xdr:rowOff>
    </xdr:from>
    <xdr:ext cx="5040000" cy="28800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d276a9427941ee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7f46b6bfc22b4c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272048319dfc44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5"/>
  <x:cols>
    <x:col min="1" max="1" width="2" customWidth="1"/>
    <x:col min="2" max="2" width="30" customWidth="1"/>
    <x:col min="3" max="3" width="60" customWidth="1"/>
    <x:col min="4" max="4" width="20" customWidth="1"/>
  </x:cols>
  <x:sheetData>
    <x:row r="1" ht="19.5" customHeight="1"/>
    <x:row r="2" ht="45" customHeight="1">
      <x:c r="B2" s="175" t="str">
        <x:v>SISTEMA DE AVALIAÇÃO E MONITORAMENTO DE RESULTADOS DA IPS</x:v>
      </x:c>
      <x:c r="C2" s="176"/>
      <x:c r="D2" s="176"/>
    </x:row>
    <x:row r="3" ht="27.75" customHeight="1">
      <x:c r="B3" s="146" t="s">
        <x:v>0</x:v>
      </x:c>
      <x:c r="C3" s="147"/>
      <x:c r="D3" s="147"/>
    </x:row>
    <x:row r="4" ht="19.5" customHeight="1"/>
    <x:row r="5" ht="19.5" customHeight="1">
      <x:c r="B5" s="1" t="s">
        <x:v>1</x:v>
      </x:c>
      <x:c r="C5" s="2" t="s">
        <x:v>2</x:v>
      </x:c>
      <x:c r="D5" s="2" t="s">
        <x:v>3</x:v>
      </x:c>
    </x:row>
    <x:row r="6" ht="21.75" customHeight="1">
      <x:c r="B6" s="3" t="s">
        <x:v>4</x:v>
      </x:c>
      <x:c r="C6" s="4" t="s">
        <x:v>5</x:v>
      </x:c>
      <x:c r="D6" s="4" t="s">
        <x:v>6</x:v>
      </x:c>
    </x:row>
    <x:row r="7" ht="21.75" customHeight="1">
      <x:c r="B7" s="5" t="s">
        <x:v>7</x:v>
      </x:c>
      <x:c r="C7" s="6" t="s">
        <x:v>8</x:v>
      </x:c>
      <x:c r="D7" s="6" t="s">
        <x:v>9</x:v>
      </x:c>
    </x:row>
    <x:row r="8" ht="21.75" customHeight="1">
      <x:c r="B8" s="7" t="s">
        <x:v>10</x:v>
      </x:c>
      <x:c r="C8" s="8" t="s">
        <x:v>11</x:v>
      </x:c>
      <x:c r="D8" s="8" t="s">
        <x:v>9</x:v>
      </x:c>
    </x:row>
    <x:row r="9" ht="21.75" customHeight="1">
      <x:c r="B9" s="9" t="s">
        <x:v>12</x:v>
      </x:c>
      <x:c r="C9" s="10" t="s">
        <x:v>13</x:v>
      </x:c>
      <x:c r="D9" s="10" t="s">
        <x:v>14</x:v>
      </x:c>
    </x:row>
    <x:row r="10" ht="21.75" customHeight="1">
      <x:c r="B10" s="11" t="s">
        <x:v>15</x:v>
      </x:c>
      <x:c r="C10" s="12" t="s">
        <x:v>16</x:v>
      </x:c>
      <x:c r="D10" s="12" t="s">
        <x:v>17</x:v>
      </x:c>
    </x:row>
    <x:row r="11" ht="21.75" customHeight="1">
      <x:c r="B11" s="13" t="s">
        <x:v>18</x:v>
      </x:c>
      <x:c r="C11" s="14" t="s">
        <x:v>19</x:v>
      </x:c>
      <x:c r="D11" s="14" t="s">
        <x:v>20</x:v>
      </x:c>
    </x:row>
    <x:row r="12" ht="19.5" customHeight="1"/>
    <x:row r="13" ht="21.75" customHeight="1">
      <x:c r="B13" s="144" t="s">
        <x:v>21</x:v>
      </x:c>
      <x:c r="C13" s="145"/>
      <x:c r="D13" s="145"/>
    </x:row>
    <x:row r="14" ht="19.5" customHeight="1">
      <x:c r="B14" s="15" t="s">
        <x:v>22</x:v>
      </x:c>
      <x:c r="C14" s="16" t="s">
        <x:v>23</x:v>
      </x:c>
      <x:c r="D14" s="17"/>
    </x:row>
    <x:row r="15" ht="19.5" customHeight="1">
      <x:c r="B15" s="15" t="s">
        <x:v>24</x:v>
      </x:c>
      <x:c r="C15" s="16" t="s">
        <x:v>25</x:v>
      </x:c>
      <x:c r="D15" s="17"/>
    </x:row>
    <x:row r="16" ht="19.5" customHeight="1">
      <x:c r="B16" s="15" t="s">
        <x:v>26</x:v>
      </x:c>
      <x:c r="C16" s="16" t="s">
        <x:v>27</x:v>
      </x:c>
      <x:c r="D16" s="17"/>
    </x:row>
    <x:row r="17" ht="19.5" customHeight="1">
      <x:c r="B17" s="15" t="s">
        <x:v>28</x:v>
      </x:c>
      <x:c r="C17" s="16" t="s">
        <x:v>29</x:v>
      </x:c>
      <x:c r="D17" s="17"/>
    </x:row>
    <x:row r="18" ht="19.5" customHeight="1">
      <x:c r="B18" s="15" t="s">
        <x:v>30</x:v>
      </x:c>
      <x:c r="C18" s="16" t="s">
        <x:v>31</x:v>
      </x:c>
      <x:c r="D18" s="17"/>
    </x:row>
    <x:row r="19" ht="19.5" customHeight="1"/>
  </x:sheetData>
  <x:mergeCells>
    <x:mergeCell ref="B13:D13"/>
    <x:mergeCell ref="B3:D3"/>
    <x:mergeCell ref="B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5"/>
  <x:cols>
    <x:col min="1" max="1" width="3" customWidth="1"/>
    <x:col min="2" max="2" width="18" customWidth="1"/>
    <x:col min="3" max="3" width="10" customWidth="1"/>
    <x:col min="4" max="4" width="12" customWidth="1"/>
    <x:col min="5" max="6" width="14" customWidth="1"/>
    <x:col min="7" max="7" width="15" customWidth="1"/>
    <x:col min="8" max="9" width="14" customWidth="1"/>
    <x:col min="10" max="10" width="12" customWidth="1"/>
    <x:col min="11" max="11" width="14" customWidth="1"/>
  </x:cols>
  <x:sheetData>
    <x:row r="1" ht="21.75" customHeight="1">
      <x:c r="B1" s="149" t="s">
        <x:v>32</x:v>
      </x:c>
      <x:c r="C1" s="145"/>
      <x:c r="D1" s="150"/>
      <x:c r="E1" s="152" t="s">
        <x:v>33</x:v>
      </x:c>
      <x:c r="F1" s="145"/>
      <x:c r="G1" s="145"/>
      <x:c r="H1" s="145"/>
      <x:c r="I1" s="150"/>
      <x:c r="J1" s="153" t="s">
        <x:v>34</x:v>
      </x:c>
      <x:c r="K1" s="150"/>
    </x:row>
    <x:row r="2" ht="34.5" customHeight="1">
      <x:c r="B2" s="18" t="s">
        <x:v>35</x:v>
      </x:c>
      <x:c r="C2" s="18" t="s">
        <x:v>36</x:v>
      </x:c>
      <x:c r="D2" s="18" t="s">
        <x:v>37</x:v>
      </x:c>
      <x:c r="E2" s="19" t="s">
        <x:v>38</x:v>
      </x:c>
      <x:c r="F2" s="20" t="s">
        <x:v>39</x:v>
      </x:c>
      <x:c r="G2" s="21" t="s">
        <x:v>40</x:v>
      </x:c>
      <x:c r="H2" s="22" t="s">
        <x:v>41</x:v>
      </x:c>
      <x:c r="I2" s="23" t="s">
        <x:v>42</x:v>
      </x:c>
      <x:c r="J2" s="24" t="s">
        <x:v>43</x:v>
      </x:c>
      <x:c r="K2" s="25" t="s">
        <x:v>44</x:v>
      </x:c>
    </x:row>
    <x:row r="3" ht="18" customHeight="1">
      <x:c r="B3" s="26" t="str">
        <x:f>IF(COUNTA('📥 DADOS BRUTOS'!B3)=0,"",'📥 DADOS BRUTOS'!B3)</x:f>
      </x:c>
      <x:c r="C3" s="26" t="str">
        <x:f>IF(COUNTA('📥 DADOS BRUTOS'!C3)=0,"",'📥 DADOS BRUTOS'!C3)</x:f>
      </x:c>
      <x:c r="D3" s="26" t="str">
        <x:f>IF(COUNTA('📥 DADOS BRUTOS'!D3)=0,"",'📥 DADOS BRUTOS'!D3)</x:f>
      </x:c>
      <x:c r="E3" s="27" t="str">
        <x:f>IF(COUNT('📥 DADOS BRUTOS'!CD3:CG3)&lt;4,"",SUM('📥 DADOS BRUTOS'!CD3:CG3))</x:f>
      </x:c>
      <x:c r="F3" s="27" t="str">
        <x:f>IF(COUNT('📥 DADOS BRUTOS'!CH3:CK3)&lt;4,"",SUM('📥 DADOS BRUTOS'!CH3:CK3))</x:f>
      </x:c>
      <x:c r="G3" s="27" t="str">
        <x:f>IF(COUNT('📥 DADOS BRUTOS'!CL3:CO3)&lt;4,"",SUM('📥 DADOS BRUTOS'!CL3:CO3))</x:f>
      </x:c>
      <x:c r="H3" s="27" t="str">
        <x:f>IF(COUNT('📥 DADOS BRUTOS'!CP3:CS3)&lt;4,"",SUM('📥 DADOS BRUTOS'!CP3:CS3))</x:f>
      </x:c>
      <x:c r="I3" s="27" t="str">
        <x:f>IF(COUNT('📥 DADOS BRUTOS'!CT3:CW3)&lt;4,"",SUM('📥 DADOS BRUTOS'!CT3:CW3))</x:f>
      </x:c>
      <x:c r="J3" s="28" t="str">
        <x:f t="shared" ref="J3:J32" si="0">IF(COUNT(E3:I3)&lt;5,"",SUM(E3:I3))</x:f>
      </x:c>
      <x:c r="K3" s="29" t="str">
        <x:f t="shared" ref="K3:K32" si="1">IF(J3="","",IF(J3&lt;=20,"Desconectado",IF(J3&lt;=40,"Despertando",IF(J3&lt;=60,"Emergente",IF(J3&lt;=80,"Integrado","Corporificado")))))</x:f>
      </x:c>
    </x:row>
    <x:row r="4" ht="18" customHeight="1">
      <x:c r="B4" s="30" t="str">
        <x:f>IF(COUNTA('📥 DADOS BRUTOS'!B4)=0,"",'📥 DADOS BRUTOS'!B4)</x:f>
      </x:c>
      <x:c r="C4" s="30" t="str">
        <x:f>IF(COUNTA('📥 DADOS BRUTOS'!C4)=0,"",'📥 DADOS BRUTOS'!C4)</x:f>
      </x:c>
      <x:c r="D4" s="30" t="str">
        <x:f>IF(COUNTA('📥 DADOS BRUTOS'!D4)=0,"",'📥 DADOS BRUTOS'!D4)</x:f>
      </x:c>
      <x:c r="E4" s="31" t="str">
        <x:f>IF(COUNT('📥 DADOS BRUTOS'!CD4:CG4)&lt;4,"",SUM('📥 DADOS BRUTOS'!CD4:CG4))</x:f>
      </x:c>
      <x:c r="F4" s="31" t="str">
        <x:f>IF(COUNT('📥 DADOS BRUTOS'!CH4:CK4)&lt;4,"",SUM('📥 DADOS BRUTOS'!CH4:CK4))</x:f>
      </x:c>
      <x:c r="G4" s="31" t="str">
        <x:f>IF(COUNT('📥 DADOS BRUTOS'!CL4:CO4)&lt;4,"",SUM('📥 DADOS BRUTOS'!CL4:CO4))</x:f>
      </x:c>
      <x:c r="H4" s="31" t="str">
        <x:f>IF(COUNT('📥 DADOS BRUTOS'!CP4:CS4)&lt;4,"",SUM('📥 DADOS BRUTOS'!CP4:CS4))</x:f>
      </x:c>
      <x:c r="I4" s="31" t="str">
        <x:f>IF(COUNT('📥 DADOS BRUTOS'!CT4:CW4)&lt;4,"",SUM('📥 DADOS BRUTOS'!CT4:CW4))</x:f>
      </x:c>
      <x:c r="J4" s="32" t="str">
        <x:f t="shared" si="0">IF(COUNT(E4:I4)&lt;5,"",SUM(E4:I4))</x:f>
      </x:c>
      <x:c r="K4" s="33" t="str">
        <x:f t="shared" si="1">IF(J4="","",IF(J4&lt;=20,"Desconectado",IF(J4&lt;=40,"Despertando",IF(J4&lt;=60,"Emergente",IF(J4&lt;=80,"Integrado","Corporificado")))))</x:f>
      </x:c>
    </x:row>
    <x:row r="5" ht="18" customHeight="1">
      <x:c r="B5" s="26" t="str">
        <x:f>IF(COUNTA('📥 DADOS BRUTOS'!B5)=0,"",'📥 DADOS BRUTOS'!B5)</x:f>
      </x:c>
      <x:c r="C5" s="26" t="str">
        <x:f>IF(COUNTA('📥 DADOS BRUTOS'!C5)=0,"",'📥 DADOS BRUTOS'!C5)</x:f>
      </x:c>
      <x:c r="D5" s="26" t="str">
        <x:f>IF(COUNTA('📥 DADOS BRUTOS'!D5)=0,"",'📥 DADOS BRUTOS'!D5)</x:f>
      </x:c>
      <x:c r="E5" s="27" t="str">
        <x:f>IF(COUNT('📥 DADOS BRUTOS'!CD5:CG5)&lt;4,"",SUM('📥 DADOS BRUTOS'!CD5:CG5))</x:f>
      </x:c>
      <x:c r="F5" s="27" t="str">
        <x:f>IF(COUNT('📥 DADOS BRUTOS'!CH5:CK5)&lt;4,"",SUM('📥 DADOS BRUTOS'!CH5:CK5))</x:f>
      </x:c>
      <x:c r="G5" s="27" t="str">
        <x:f>IF(COUNT('📥 DADOS BRUTOS'!CL5:CO5)&lt;4,"",SUM('📥 DADOS BRUTOS'!CL5:CO5))</x:f>
      </x:c>
      <x:c r="H5" s="27" t="str">
        <x:f>IF(COUNT('📥 DADOS BRUTOS'!CP5:CS5)&lt;4,"",SUM('📥 DADOS BRUTOS'!CP5:CS5))</x:f>
      </x:c>
      <x:c r="I5" s="27" t="str">
        <x:f>IF(COUNT('📥 DADOS BRUTOS'!CT5:CW5)&lt;4,"",SUM('📥 DADOS BRUTOS'!CT5:CW5))</x:f>
      </x:c>
      <x:c r="J5" s="28" t="str">
        <x:f t="shared" si="0">IF(COUNT(E5:I5)&lt;5,"",SUM(E5:I5))</x:f>
      </x:c>
      <x:c r="K5" s="29" t="str">
        <x:f t="shared" si="1">IF(J5="","",IF(J5&lt;=20,"Desconectado",IF(J5&lt;=40,"Despertando",IF(J5&lt;=60,"Emergente",IF(J5&lt;=80,"Integrado","Corporificado")))))</x:f>
      </x:c>
    </x:row>
    <x:row r="6" ht="18" customHeight="1">
      <x:c r="B6" s="30" t="str">
        <x:f>IF(COUNTA('📥 DADOS BRUTOS'!B6)=0,"",'📥 DADOS BRUTOS'!B6)</x:f>
      </x:c>
      <x:c r="C6" s="30" t="str">
        <x:f>IF(COUNTA('📥 DADOS BRUTOS'!C6)=0,"",'📥 DADOS BRUTOS'!C6)</x:f>
      </x:c>
      <x:c r="D6" s="30" t="str">
        <x:f>IF(COUNTA('📥 DADOS BRUTOS'!D6)=0,"",'📥 DADOS BRUTOS'!D6)</x:f>
      </x:c>
      <x:c r="E6" s="31" t="str">
        <x:f>IF(COUNT('📥 DADOS BRUTOS'!CD6:CG6)&lt;4,"",SUM('📥 DADOS BRUTOS'!CD6:CG6))</x:f>
      </x:c>
      <x:c r="F6" s="31" t="str">
        <x:f>IF(COUNT('📥 DADOS BRUTOS'!CH6:CK6)&lt;4,"",SUM('📥 DADOS BRUTOS'!CH6:CK6))</x:f>
      </x:c>
      <x:c r="G6" s="31" t="str">
        <x:f>IF(COUNT('📥 DADOS BRUTOS'!CL6:CO6)&lt;4,"",SUM('📥 DADOS BRUTOS'!CL6:CO6))</x:f>
      </x:c>
      <x:c r="H6" s="31" t="str">
        <x:f>IF(COUNT('📥 DADOS BRUTOS'!CP6:CS6)&lt;4,"",SUM('📥 DADOS BRUTOS'!CP6:CS6))</x:f>
      </x:c>
      <x:c r="I6" s="31" t="str">
        <x:f>IF(COUNT('📥 DADOS BRUTOS'!CT6:CW6)&lt;4,"",SUM('📥 DADOS BRUTOS'!CT6:CW6))</x:f>
      </x:c>
      <x:c r="J6" s="32" t="str">
        <x:f t="shared" si="0">IF(COUNT(E6:I6)&lt;5,"",SUM(E6:I6))</x:f>
      </x:c>
      <x:c r="K6" s="33" t="str">
        <x:f t="shared" si="1">IF(J6="","",IF(J6&lt;=20,"Desconectado",IF(J6&lt;=40,"Despertando",IF(J6&lt;=60,"Emergente",IF(J6&lt;=80,"Integrado","Corporificado")))))</x:f>
      </x:c>
    </x:row>
    <x:row r="7" ht="18" customHeight="1">
      <x:c r="B7" s="26" t="str">
        <x:f>IF(COUNTA('📥 DADOS BRUTOS'!B7)=0,"",'📥 DADOS BRUTOS'!B7)</x:f>
      </x:c>
      <x:c r="C7" s="26" t="str">
        <x:f>IF(COUNTA('📥 DADOS BRUTOS'!C7)=0,"",'📥 DADOS BRUTOS'!C7)</x:f>
      </x:c>
      <x:c r="D7" s="26" t="str">
        <x:f>IF(COUNTA('📥 DADOS BRUTOS'!D7)=0,"",'📥 DADOS BRUTOS'!D7)</x:f>
      </x:c>
      <x:c r="E7" s="27" t="str">
        <x:f>IF(COUNT('📥 DADOS BRUTOS'!CD7:CG7)&lt;4,"",SUM('📥 DADOS BRUTOS'!CD7:CG7))</x:f>
      </x:c>
      <x:c r="F7" s="27" t="str">
        <x:f>IF(COUNT('📥 DADOS BRUTOS'!CH7:CK7)&lt;4,"",SUM('📥 DADOS BRUTOS'!CH7:CK7))</x:f>
      </x:c>
      <x:c r="G7" s="27" t="str">
        <x:f>IF(COUNT('📥 DADOS BRUTOS'!CL7:CO7)&lt;4,"",SUM('📥 DADOS BRUTOS'!CL7:CO7))</x:f>
      </x:c>
      <x:c r="H7" s="27" t="str">
        <x:f>IF(COUNT('📥 DADOS BRUTOS'!CP7:CS7)&lt;4,"",SUM('📥 DADOS BRUTOS'!CP7:CS7))</x:f>
      </x:c>
      <x:c r="I7" s="27" t="str">
        <x:f>IF(COUNT('📥 DADOS BRUTOS'!CT7:CW7)&lt;4,"",SUM('📥 DADOS BRUTOS'!CT7:CW7))</x:f>
      </x:c>
      <x:c r="J7" s="28" t="str">
        <x:f t="shared" si="0">IF(COUNT(E7:I7)&lt;5,"",SUM(E7:I7))</x:f>
      </x:c>
      <x:c r="K7" s="29" t="str">
        <x:f t="shared" si="1">IF(J7="","",IF(J7&lt;=20,"Desconectado",IF(J7&lt;=40,"Despertando",IF(J7&lt;=60,"Emergente",IF(J7&lt;=80,"Integrado","Corporificado")))))</x:f>
      </x:c>
    </x:row>
    <x:row r="8" ht="18" customHeight="1">
      <x:c r="B8" s="30" t="str">
        <x:f>IF(COUNTA('📥 DADOS BRUTOS'!B8)=0,"",'📥 DADOS BRUTOS'!B8)</x:f>
      </x:c>
      <x:c r="C8" s="30" t="str">
        <x:f>IF(COUNTA('📥 DADOS BRUTOS'!C8)=0,"",'📥 DADOS BRUTOS'!C8)</x:f>
      </x:c>
      <x:c r="D8" s="30" t="str">
        <x:f>IF(COUNTA('📥 DADOS BRUTOS'!D8)=0,"",'📥 DADOS BRUTOS'!D8)</x:f>
      </x:c>
      <x:c r="E8" s="31" t="str">
        <x:f>IF(COUNT('📥 DADOS BRUTOS'!CD8:CG8)&lt;4,"",SUM('📥 DADOS BRUTOS'!CD8:CG8))</x:f>
      </x:c>
      <x:c r="F8" s="31" t="str">
        <x:f>IF(COUNT('📥 DADOS BRUTOS'!CH8:CK8)&lt;4,"",SUM('📥 DADOS BRUTOS'!CH8:CK8))</x:f>
      </x:c>
      <x:c r="G8" s="31" t="str">
        <x:f>IF(COUNT('📥 DADOS BRUTOS'!CL8:CO8)&lt;4,"",SUM('📥 DADOS BRUTOS'!CL8:CO8))</x:f>
      </x:c>
      <x:c r="H8" s="31" t="str">
        <x:f>IF(COUNT('📥 DADOS BRUTOS'!CP8:CS8)&lt;4,"",SUM('📥 DADOS BRUTOS'!CP8:CS8))</x:f>
      </x:c>
      <x:c r="I8" s="31" t="str">
        <x:f>IF(COUNT('📥 DADOS BRUTOS'!CT8:CW8)&lt;4,"",SUM('📥 DADOS BRUTOS'!CT8:CW8))</x:f>
      </x:c>
      <x:c r="J8" s="32" t="str">
        <x:f t="shared" si="0">IF(COUNT(E8:I8)&lt;5,"",SUM(E8:I8))</x:f>
      </x:c>
      <x:c r="K8" s="33" t="str">
        <x:f t="shared" si="1">IF(J8="","",IF(J8&lt;=20,"Desconectado",IF(J8&lt;=40,"Despertando",IF(J8&lt;=60,"Emergente",IF(J8&lt;=80,"Integrado","Corporificado")))))</x:f>
      </x:c>
    </x:row>
    <x:row r="9" ht="18" customHeight="1">
      <x:c r="B9" s="26" t="str">
        <x:f>IF(COUNTA('📥 DADOS BRUTOS'!B9)=0,"",'📥 DADOS BRUTOS'!B9)</x:f>
      </x:c>
      <x:c r="C9" s="26" t="str">
        <x:f>IF(COUNTA('📥 DADOS BRUTOS'!C9)=0,"",'📥 DADOS BRUTOS'!C9)</x:f>
      </x:c>
      <x:c r="D9" s="26" t="str">
        <x:f>IF(COUNTA('📥 DADOS BRUTOS'!D9)=0,"",'📥 DADOS BRUTOS'!D9)</x:f>
      </x:c>
      <x:c r="E9" s="27" t="str">
        <x:f>IF(COUNT('📥 DADOS BRUTOS'!CD9:CG9)&lt;4,"",SUM('📥 DADOS BRUTOS'!CD9:CG9))</x:f>
      </x:c>
      <x:c r="F9" s="27" t="str">
        <x:f>IF(COUNT('📥 DADOS BRUTOS'!CH9:CK9)&lt;4,"",SUM('📥 DADOS BRUTOS'!CH9:CK9))</x:f>
      </x:c>
      <x:c r="G9" s="27" t="str">
        <x:f>IF(COUNT('📥 DADOS BRUTOS'!CL9:CO9)&lt;4,"",SUM('📥 DADOS BRUTOS'!CL9:CO9))</x:f>
      </x:c>
      <x:c r="H9" s="27" t="str">
        <x:f>IF(COUNT('📥 DADOS BRUTOS'!CP9:CS9)&lt;4,"",SUM('📥 DADOS BRUTOS'!CP9:CS9))</x:f>
      </x:c>
      <x:c r="I9" s="27" t="str">
        <x:f>IF(COUNT('📥 DADOS BRUTOS'!CT9:CW9)&lt;4,"",SUM('📥 DADOS BRUTOS'!CT9:CW9))</x:f>
      </x:c>
      <x:c r="J9" s="28" t="str">
        <x:f t="shared" si="0">IF(COUNT(E9:I9)&lt;5,"",SUM(E9:I9))</x:f>
      </x:c>
      <x:c r="K9" s="29" t="str">
        <x:f t="shared" si="1">IF(J9="","",IF(J9&lt;=20,"Desconectado",IF(J9&lt;=40,"Despertando",IF(J9&lt;=60,"Emergente",IF(J9&lt;=80,"Integrado","Corporificado")))))</x:f>
      </x:c>
    </x:row>
    <x:row r="10" ht="18" customHeight="1">
      <x:c r="B10" s="30" t="str">
        <x:f>IF(COUNTA('📥 DADOS BRUTOS'!B10)=0,"",'📥 DADOS BRUTOS'!B10)</x:f>
      </x:c>
      <x:c r="C10" s="30" t="str">
        <x:f>IF(COUNTA('📥 DADOS BRUTOS'!C10)=0,"",'📥 DADOS BRUTOS'!C10)</x:f>
      </x:c>
      <x:c r="D10" s="30" t="str">
        <x:f>IF(COUNTA('📥 DADOS BRUTOS'!D10)=0,"",'📥 DADOS BRUTOS'!D10)</x:f>
      </x:c>
      <x:c r="E10" s="31" t="str">
        <x:f>IF(COUNT('📥 DADOS BRUTOS'!CD10:CG10)&lt;4,"",SUM('📥 DADOS BRUTOS'!CD10:CG10))</x:f>
      </x:c>
      <x:c r="F10" s="31" t="str">
        <x:f>IF(COUNT('📥 DADOS BRUTOS'!CH10:CK10)&lt;4,"",SUM('📥 DADOS BRUTOS'!CH10:CK10))</x:f>
      </x:c>
      <x:c r="G10" s="31" t="str">
        <x:f>IF(COUNT('📥 DADOS BRUTOS'!CL10:CO10)&lt;4,"",SUM('📥 DADOS BRUTOS'!CL10:CO10))</x:f>
      </x:c>
      <x:c r="H10" s="31" t="str">
        <x:f>IF(COUNT('📥 DADOS BRUTOS'!CP10:CS10)&lt;4,"",SUM('📥 DADOS BRUTOS'!CP10:CS10))</x:f>
      </x:c>
      <x:c r="I10" s="31" t="str">
        <x:f>IF(COUNT('📥 DADOS BRUTOS'!CT10:CW10)&lt;4,"",SUM('📥 DADOS BRUTOS'!CT10:CW10))</x:f>
      </x:c>
      <x:c r="J10" s="32" t="str">
        <x:f t="shared" si="0">IF(COUNT(E10:I10)&lt;5,"",SUM(E10:I10))</x:f>
      </x:c>
      <x:c r="K10" s="33" t="str">
        <x:f t="shared" si="1">IF(J10="","",IF(J10&lt;=20,"Desconectado",IF(J10&lt;=40,"Despertando",IF(J10&lt;=60,"Emergente",IF(J10&lt;=80,"Integrado","Corporificado")))))</x:f>
      </x:c>
    </x:row>
    <x:row r="11" ht="18" customHeight="1">
      <x:c r="B11" s="26" t="str">
        <x:f>IF(COUNTA('📥 DADOS BRUTOS'!B11)=0,"",'📥 DADOS BRUTOS'!B11)</x:f>
      </x:c>
      <x:c r="C11" s="26" t="str">
        <x:f>IF(COUNTA('📥 DADOS BRUTOS'!C11)=0,"",'📥 DADOS BRUTOS'!C11)</x:f>
      </x:c>
      <x:c r="D11" s="26" t="str">
        <x:f>IF(COUNTA('📥 DADOS BRUTOS'!D11)=0,"",'📥 DADOS BRUTOS'!D11)</x:f>
      </x:c>
      <x:c r="E11" s="27" t="str">
        <x:f>IF(COUNT('📥 DADOS BRUTOS'!CD11:CG11)&lt;4,"",SUM('📥 DADOS BRUTOS'!CD11:CG11))</x:f>
      </x:c>
      <x:c r="F11" s="27" t="str">
        <x:f>IF(COUNT('📥 DADOS BRUTOS'!CH11:CK11)&lt;4,"",SUM('📥 DADOS BRUTOS'!CH11:CK11))</x:f>
      </x:c>
      <x:c r="G11" s="27" t="str">
        <x:f>IF(COUNT('📥 DADOS BRUTOS'!CL11:CO11)&lt;4,"",SUM('📥 DADOS BRUTOS'!CL11:CO11))</x:f>
      </x:c>
      <x:c r="H11" s="27" t="str">
        <x:f>IF(COUNT('📥 DADOS BRUTOS'!CP11:CS11)&lt;4,"",SUM('📥 DADOS BRUTOS'!CP11:CS11))</x:f>
      </x:c>
      <x:c r="I11" s="27" t="str">
        <x:f>IF(COUNT('📥 DADOS BRUTOS'!CT11:CW11)&lt;4,"",SUM('📥 DADOS BRUTOS'!CT11:CW11))</x:f>
      </x:c>
      <x:c r="J11" s="28" t="str">
        <x:f t="shared" si="0">IF(COUNT(E11:I11)&lt;5,"",SUM(E11:I11))</x:f>
      </x:c>
      <x:c r="K11" s="29" t="str">
        <x:f t="shared" si="1">IF(J11="","",IF(J11&lt;=20,"Desconectado",IF(J11&lt;=40,"Despertando",IF(J11&lt;=60,"Emergente",IF(J11&lt;=80,"Integrado","Corporificado")))))</x:f>
      </x:c>
    </x:row>
    <x:row r="12" ht="18" customHeight="1">
      <x:c r="B12" s="30" t="str">
        <x:f>IF(COUNTA('📥 DADOS BRUTOS'!B12)=0,"",'📥 DADOS BRUTOS'!B12)</x:f>
      </x:c>
      <x:c r="C12" s="30" t="str">
        <x:f>IF(COUNTA('📥 DADOS BRUTOS'!C12)=0,"",'📥 DADOS BRUTOS'!C12)</x:f>
      </x:c>
      <x:c r="D12" s="30" t="str">
        <x:f>IF(COUNTA('📥 DADOS BRUTOS'!D12)=0,"",'📥 DADOS BRUTOS'!D12)</x:f>
      </x:c>
      <x:c r="E12" s="31" t="str">
        <x:f>IF(COUNT('📥 DADOS BRUTOS'!CD12:CG12)&lt;4,"",SUM('📥 DADOS BRUTOS'!CD12:CG12))</x:f>
      </x:c>
      <x:c r="F12" s="31" t="str">
        <x:f>IF(COUNT('📥 DADOS BRUTOS'!CH12:CK12)&lt;4,"",SUM('📥 DADOS BRUTOS'!CH12:CK12))</x:f>
      </x:c>
      <x:c r="G12" s="31" t="str">
        <x:f>IF(COUNT('📥 DADOS BRUTOS'!CL12:CO12)&lt;4,"",SUM('📥 DADOS BRUTOS'!CL12:CO12))</x:f>
      </x:c>
      <x:c r="H12" s="31" t="str">
        <x:f>IF(COUNT('📥 DADOS BRUTOS'!CP12:CS12)&lt;4,"",SUM('📥 DADOS BRUTOS'!CP12:CS12))</x:f>
      </x:c>
      <x:c r="I12" s="31" t="str">
        <x:f>IF(COUNT('📥 DADOS BRUTOS'!CT12:CW12)&lt;4,"",SUM('📥 DADOS BRUTOS'!CT12:CW12))</x:f>
      </x:c>
      <x:c r="J12" s="32" t="str">
        <x:f t="shared" si="0">IF(COUNT(E12:I12)&lt;5,"",SUM(E12:I12))</x:f>
      </x:c>
      <x:c r="K12" s="33" t="str">
        <x:f t="shared" si="1">IF(J12="","",IF(J12&lt;=20,"Desconectado",IF(J12&lt;=40,"Despertando",IF(J12&lt;=60,"Emergente",IF(J12&lt;=80,"Integrado","Corporificado")))))</x:f>
      </x:c>
    </x:row>
    <x:row r="13" ht="18" customHeight="1">
      <x:c r="B13" s="26" t="str">
        <x:f>IF(COUNTA('📥 DADOS BRUTOS'!B13)=0,"",'📥 DADOS BRUTOS'!B13)</x:f>
      </x:c>
      <x:c r="C13" s="26" t="str">
        <x:f>IF(COUNTA('📥 DADOS BRUTOS'!C13)=0,"",'📥 DADOS BRUTOS'!C13)</x:f>
      </x:c>
      <x:c r="D13" s="26" t="str">
        <x:f>IF(COUNTA('📥 DADOS BRUTOS'!D13)=0,"",'📥 DADOS BRUTOS'!D13)</x:f>
      </x:c>
      <x:c r="E13" s="27" t="str">
        <x:f>IF(COUNT('📥 DADOS BRUTOS'!CD13:CG13)&lt;4,"",SUM('📥 DADOS BRUTOS'!CD13:CG13))</x:f>
      </x:c>
      <x:c r="F13" s="27" t="str">
        <x:f>IF(COUNT('📥 DADOS BRUTOS'!CH13:CK13)&lt;4,"",SUM('📥 DADOS BRUTOS'!CH13:CK13))</x:f>
      </x:c>
      <x:c r="G13" s="27" t="str">
        <x:f>IF(COUNT('📥 DADOS BRUTOS'!CL13:CO13)&lt;4,"",SUM('📥 DADOS BRUTOS'!CL13:CO13))</x:f>
      </x:c>
      <x:c r="H13" s="27" t="str">
        <x:f>IF(COUNT('📥 DADOS BRUTOS'!CP13:CS13)&lt;4,"",SUM('📥 DADOS BRUTOS'!CP13:CS13))</x:f>
      </x:c>
      <x:c r="I13" s="27" t="str">
        <x:f>IF(COUNT('📥 DADOS BRUTOS'!CT13:CW13)&lt;4,"",SUM('📥 DADOS BRUTOS'!CT13:CW13))</x:f>
      </x:c>
      <x:c r="J13" s="28" t="str">
        <x:f t="shared" si="0">IF(COUNT(E13:I13)&lt;5,"",SUM(E13:I13))</x:f>
      </x:c>
      <x:c r="K13" s="29" t="str">
        <x:f t="shared" si="1">IF(J13="","",IF(J13&lt;=20,"Desconectado",IF(J13&lt;=40,"Despertando",IF(J13&lt;=60,"Emergente",IF(J13&lt;=80,"Integrado","Corporificado")))))</x:f>
      </x:c>
    </x:row>
    <x:row r="14" ht="18" customHeight="1">
      <x:c r="B14" s="30" t="str">
        <x:f>IF(COUNTA('📥 DADOS BRUTOS'!B14)=0,"",'📥 DADOS BRUTOS'!B14)</x:f>
      </x:c>
      <x:c r="C14" s="30" t="str">
        <x:f>IF(COUNTA('📥 DADOS BRUTOS'!C14)=0,"",'📥 DADOS BRUTOS'!C14)</x:f>
      </x:c>
      <x:c r="D14" s="30" t="str">
        <x:f>IF(COUNTA('📥 DADOS BRUTOS'!D14)=0,"",'📥 DADOS BRUTOS'!D14)</x:f>
      </x:c>
      <x:c r="E14" s="31" t="str">
        <x:f>IF(COUNT('📥 DADOS BRUTOS'!CD14:CG14)&lt;4,"",SUM('📥 DADOS BRUTOS'!CD14:CG14))</x:f>
      </x:c>
      <x:c r="F14" s="31" t="str">
        <x:f>IF(COUNT('📥 DADOS BRUTOS'!CH14:CK14)&lt;4,"",SUM('📥 DADOS BRUTOS'!CH14:CK14))</x:f>
      </x:c>
      <x:c r="G14" s="31" t="str">
        <x:f>IF(COUNT('📥 DADOS BRUTOS'!CL14:CO14)&lt;4,"",SUM('📥 DADOS BRUTOS'!CL14:CO14))</x:f>
      </x:c>
      <x:c r="H14" s="31" t="str">
        <x:f>IF(COUNT('📥 DADOS BRUTOS'!CP14:CS14)&lt;4,"",SUM('📥 DADOS BRUTOS'!CP14:CS14))</x:f>
      </x:c>
      <x:c r="I14" s="31" t="str">
        <x:f>IF(COUNT('📥 DADOS BRUTOS'!CT14:CW14)&lt;4,"",SUM('📥 DADOS BRUTOS'!CT14:CW14))</x:f>
      </x:c>
      <x:c r="J14" s="32" t="str">
        <x:f t="shared" si="0">IF(COUNT(E14:I14)&lt;5,"",SUM(E14:I14))</x:f>
      </x:c>
      <x:c r="K14" s="33" t="str">
        <x:f t="shared" si="1">IF(J14="","",IF(J14&lt;=20,"Desconectado",IF(J14&lt;=40,"Despertando",IF(J14&lt;=60,"Emergente",IF(J14&lt;=80,"Integrado","Corporificado")))))</x:f>
      </x:c>
    </x:row>
    <x:row r="15" ht="18" customHeight="1">
      <x:c r="B15" s="26" t="str">
        <x:f>IF(COUNTA('📥 DADOS BRUTOS'!B15)=0,"",'📥 DADOS BRUTOS'!B15)</x:f>
      </x:c>
      <x:c r="C15" s="26" t="str">
        <x:f>IF(COUNTA('📥 DADOS BRUTOS'!C15)=0,"",'📥 DADOS BRUTOS'!C15)</x:f>
      </x:c>
      <x:c r="D15" s="26" t="str">
        <x:f>IF(COUNTA('📥 DADOS BRUTOS'!D15)=0,"",'📥 DADOS BRUTOS'!D15)</x:f>
      </x:c>
      <x:c r="E15" s="27" t="str">
        <x:f>IF(COUNT('📥 DADOS BRUTOS'!CD15:CG15)&lt;4,"",SUM('📥 DADOS BRUTOS'!CD15:CG15))</x:f>
      </x:c>
      <x:c r="F15" s="27" t="str">
        <x:f>IF(COUNT('📥 DADOS BRUTOS'!CH15:CK15)&lt;4,"",SUM('📥 DADOS BRUTOS'!CH15:CK15))</x:f>
      </x:c>
      <x:c r="G15" s="27" t="str">
        <x:f>IF(COUNT('📥 DADOS BRUTOS'!CL15:CO15)&lt;4,"",SUM('📥 DADOS BRUTOS'!CL15:CO15))</x:f>
      </x:c>
      <x:c r="H15" s="27" t="str">
        <x:f>IF(COUNT('📥 DADOS BRUTOS'!CP15:CS15)&lt;4,"",SUM('📥 DADOS BRUTOS'!CP15:CS15))</x:f>
      </x:c>
      <x:c r="I15" s="27" t="str">
        <x:f>IF(COUNT('📥 DADOS BRUTOS'!CT15:CW15)&lt;4,"",SUM('📥 DADOS BRUTOS'!CT15:CW15))</x:f>
      </x:c>
      <x:c r="J15" s="28" t="str">
        <x:f t="shared" si="0">IF(COUNT(E15:I15)&lt;5,"",SUM(E15:I15))</x:f>
      </x:c>
      <x:c r="K15" s="29" t="str">
        <x:f t="shared" si="1">IF(J15="","",IF(J15&lt;=20,"Desconectado",IF(J15&lt;=40,"Despertando",IF(J15&lt;=60,"Emergente",IF(J15&lt;=80,"Integrado","Corporificado")))))</x:f>
      </x:c>
    </x:row>
    <x:row r="16" ht="18" customHeight="1">
      <x:c r="B16" s="30" t="str">
        <x:f>IF(COUNTA('📥 DADOS BRUTOS'!B16)=0,"",'📥 DADOS BRUTOS'!B16)</x:f>
      </x:c>
      <x:c r="C16" s="30" t="str">
        <x:f>IF(COUNTA('📥 DADOS BRUTOS'!C16)=0,"",'📥 DADOS BRUTOS'!C16)</x:f>
      </x:c>
      <x:c r="D16" s="30" t="str">
        <x:f>IF(COUNTA('📥 DADOS BRUTOS'!D16)=0,"",'📥 DADOS BRUTOS'!D16)</x:f>
      </x:c>
      <x:c r="E16" s="31" t="str">
        <x:f>IF(COUNT('📥 DADOS BRUTOS'!CD16:CG16)&lt;4,"",SUM('📥 DADOS BRUTOS'!CD16:CG16))</x:f>
      </x:c>
      <x:c r="F16" s="31" t="str">
        <x:f>IF(COUNT('📥 DADOS BRUTOS'!CH16:CK16)&lt;4,"",SUM('📥 DADOS BRUTOS'!CH16:CK16))</x:f>
      </x:c>
      <x:c r="G16" s="31" t="str">
        <x:f>IF(COUNT('📥 DADOS BRUTOS'!CL16:CO16)&lt;4,"",SUM('📥 DADOS BRUTOS'!CL16:CO16))</x:f>
      </x:c>
      <x:c r="H16" s="31" t="str">
        <x:f>IF(COUNT('📥 DADOS BRUTOS'!CP16:CS16)&lt;4,"",SUM('📥 DADOS BRUTOS'!CP16:CS16))</x:f>
      </x:c>
      <x:c r="I16" s="31" t="str">
        <x:f>IF(COUNT('📥 DADOS BRUTOS'!CT16:CW16)&lt;4,"",SUM('📥 DADOS BRUTOS'!CT16:CW16))</x:f>
      </x:c>
      <x:c r="J16" s="32" t="str">
        <x:f t="shared" si="0">IF(COUNT(E16:I16)&lt;5,"",SUM(E16:I16))</x:f>
      </x:c>
      <x:c r="K16" s="33" t="str">
        <x:f t="shared" si="1">IF(J16="","",IF(J16&lt;=20,"Desconectado",IF(J16&lt;=40,"Despertando",IF(J16&lt;=60,"Emergente",IF(J16&lt;=80,"Integrado","Corporificado")))))</x:f>
      </x:c>
    </x:row>
    <x:row r="17" ht="18" customHeight="1">
      <x:c r="B17" s="26" t="str">
        <x:f>IF(COUNTA('📥 DADOS BRUTOS'!B17)=0,"",'📥 DADOS BRUTOS'!B17)</x:f>
      </x:c>
      <x:c r="C17" s="26" t="str">
        <x:f>IF(COUNTA('📥 DADOS BRUTOS'!C17)=0,"",'📥 DADOS BRUTOS'!C17)</x:f>
      </x:c>
      <x:c r="D17" s="26" t="str">
        <x:f>IF(COUNTA('📥 DADOS BRUTOS'!D17)=0,"",'📥 DADOS BRUTOS'!D17)</x:f>
      </x:c>
      <x:c r="E17" s="27" t="str">
        <x:f>IF(COUNT('📥 DADOS BRUTOS'!CD17:CG17)&lt;4,"",SUM('📥 DADOS BRUTOS'!CD17:CG17))</x:f>
      </x:c>
      <x:c r="F17" s="27" t="str">
        <x:f>IF(COUNT('📥 DADOS BRUTOS'!CH17:CK17)&lt;4,"",SUM('📥 DADOS BRUTOS'!CH17:CK17))</x:f>
      </x:c>
      <x:c r="G17" s="27" t="str">
        <x:f>IF(COUNT('📥 DADOS BRUTOS'!CL17:CO17)&lt;4,"",SUM('📥 DADOS BRUTOS'!CL17:CO17))</x:f>
      </x:c>
      <x:c r="H17" s="27" t="str">
        <x:f>IF(COUNT('📥 DADOS BRUTOS'!CP17:CS17)&lt;4,"",SUM('📥 DADOS BRUTOS'!CP17:CS17))</x:f>
      </x:c>
      <x:c r="I17" s="27" t="str">
        <x:f>IF(COUNT('📥 DADOS BRUTOS'!CT17:CW17)&lt;4,"",SUM('📥 DADOS BRUTOS'!CT17:CW17))</x:f>
      </x:c>
      <x:c r="J17" s="28" t="str">
        <x:f t="shared" si="0">IF(COUNT(E17:I17)&lt;5,"",SUM(E17:I17))</x:f>
      </x:c>
      <x:c r="K17" s="29" t="str">
        <x:f t="shared" si="1">IF(J17="","",IF(J17&lt;=20,"Desconectado",IF(J17&lt;=40,"Despertando",IF(J17&lt;=60,"Emergente",IF(J17&lt;=80,"Integrado","Corporificado")))))</x:f>
      </x:c>
    </x:row>
    <x:row r="18" ht="18" customHeight="1">
      <x:c r="B18" s="30" t="str">
        <x:f>IF(COUNTA('📥 DADOS BRUTOS'!B18)=0,"",'📥 DADOS BRUTOS'!B18)</x:f>
      </x:c>
      <x:c r="C18" s="30" t="str">
        <x:f>IF(COUNTA('📥 DADOS BRUTOS'!C18)=0,"",'📥 DADOS BRUTOS'!C18)</x:f>
      </x:c>
      <x:c r="D18" s="30" t="str">
        <x:f>IF(COUNTA('📥 DADOS BRUTOS'!D18)=0,"",'📥 DADOS BRUTOS'!D18)</x:f>
      </x:c>
      <x:c r="E18" s="31" t="str">
        <x:f>IF(COUNT('📥 DADOS BRUTOS'!CD18:CG18)&lt;4,"",SUM('📥 DADOS BRUTOS'!CD18:CG18))</x:f>
      </x:c>
      <x:c r="F18" s="31" t="str">
        <x:f>IF(COUNT('📥 DADOS BRUTOS'!CH18:CK18)&lt;4,"",SUM('📥 DADOS BRUTOS'!CH18:CK18))</x:f>
      </x:c>
      <x:c r="G18" s="31" t="str">
        <x:f>IF(COUNT('📥 DADOS BRUTOS'!CL18:CO18)&lt;4,"",SUM('📥 DADOS BRUTOS'!CL18:CO18))</x:f>
      </x:c>
      <x:c r="H18" s="31" t="str">
        <x:f>IF(COUNT('📥 DADOS BRUTOS'!CP18:CS18)&lt;4,"",SUM('📥 DADOS BRUTOS'!CP18:CS18))</x:f>
      </x:c>
      <x:c r="I18" s="31" t="str">
        <x:f>IF(COUNT('📥 DADOS BRUTOS'!CT18:CW18)&lt;4,"",SUM('📥 DADOS BRUTOS'!CT18:CW18))</x:f>
      </x:c>
      <x:c r="J18" s="32" t="str">
        <x:f t="shared" si="0">IF(COUNT(E18:I18)&lt;5,"",SUM(E18:I18))</x:f>
      </x:c>
      <x:c r="K18" s="33" t="str">
        <x:f t="shared" si="1">IF(J18="","",IF(J18&lt;=20,"Desconectado",IF(J18&lt;=40,"Despertando",IF(J18&lt;=60,"Emergente",IF(J18&lt;=80,"Integrado","Corporificado")))))</x:f>
      </x:c>
    </x:row>
    <x:row r="19" ht="18" customHeight="1">
      <x:c r="B19" s="26" t="str">
        <x:f>IF(COUNTA('📥 DADOS BRUTOS'!B19)=0,"",'📥 DADOS BRUTOS'!B19)</x:f>
      </x:c>
      <x:c r="C19" s="26" t="str">
        <x:f>IF(COUNTA('📥 DADOS BRUTOS'!C19)=0,"",'📥 DADOS BRUTOS'!C19)</x:f>
      </x:c>
      <x:c r="D19" s="26" t="str">
        <x:f>IF(COUNTA('📥 DADOS BRUTOS'!D19)=0,"",'📥 DADOS BRUTOS'!D19)</x:f>
      </x:c>
      <x:c r="E19" s="27" t="str">
        <x:f>IF(COUNT('📥 DADOS BRUTOS'!CD19:CG19)&lt;4,"",SUM('📥 DADOS BRUTOS'!CD19:CG19))</x:f>
      </x:c>
      <x:c r="F19" s="27" t="str">
        <x:f>IF(COUNT('📥 DADOS BRUTOS'!CH19:CK19)&lt;4,"",SUM('📥 DADOS BRUTOS'!CH19:CK19))</x:f>
      </x:c>
      <x:c r="G19" s="27" t="str">
        <x:f>IF(COUNT('📥 DADOS BRUTOS'!CL19:CO19)&lt;4,"",SUM('📥 DADOS BRUTOS'!CL19:CO19))</x:f>
      </x:c>
      <x:c r="H19" s="27" t="str">
        <x:f>IF(COUNT('📥 DADOS BRUTOS'!CP19:CS19)&lt;4,"",SUM('📥 DADOS BRUTOS'!CP19:CS19))</x:f>
      </x:c>
      <x:c r="I19" s="27" t="str">
        <x:f>IF(COUNT('📥 DADOS BRUTOS'!CT19:CW19)&lt;4,"",SUM('📥 DADOS BRUTOS'!CT19:CW19))</x:f>
      </x:c>
      <x:c r="J19" s="28" t="str">
        <x:f t="shared" si="0">IF(COUNT(E19:I19)&lt;5,"",SUM(E19:I19))</x:f>
      </x:c>
      <x:c r="K19" s="29" t="str">
        <x:f t="shared" si="1">IF(J19="","",IF(J19&lt;=20,"Desconectado",IF(J19&lt;=40,"Despertando",IF(J19&lt;=60,"Emergente",IF(J19&lt;=80,"Integrado","Corporificado")))))</x:f>
      </x:c>
    </x:row>
    <x:row r="20" ht="18" customHeight="1">
      <x:c r="B20" s="30" t="str">
        <x:f>IF(COUNTA('📥 DADOS BRUTOS'!B20)=0,"",'📥 DADOS BRUTOS'!B20)</x:f>
      </x:c>
      <x:c r="C20" s="30" t="str">
        <x:f>IF(COUNTA('📥 DADOS BRUTOS'!C20)=0,"",'📥 DADOS BRUTOS'!C20)</x:f>
      </x:c>
      <x:c r="D20" s="30" t="str">
        <x:f>IF(COUNTA('📥 DADOS BRUTOS'!D20)=0,"",'📥 DADOS BRUTOS'!D20)</x:f>
      </x:c>
      <x:c r="E20" s="31" t="str">
        <x:f>IF(COUNT('📥 DADOS BRUTOS'!CD20:CG20)&lt;4,"",SUM('📥 DADOS BRUTOS'!CD20:CG20))</x:f>
      </x:c>
      <x:c r="F20" s="31" t="str">
        <x:f>IF(COUNT('📥 DADOS BRUTOS'!CH20:CK20)&lt;4,"",SUM('📥 DADOS BRUTOS'!CH20:CK20))</x:f>
      </x:c>
      <x:c r="G20" s="31" t="str">
        <x:f>IF(COUNT('📥 DADOS BRUTOS'!CL20:CO20)&lt;4,"",SUM('📥 DADOS BRUTOS'!CL20:CO20))</x:f>
      </x:c>
      <x:c r="H20" s="31" t="str">
        <x:f>IF(COUNT('📥 DADOS BRUTOS'!CP20:CS20)&lt;4,"",SUM('📥 DADOS BRUTOS'!CP20:CS20))</x:f>
      </x:c>
      <x:c r="I20" s="31" t="str">
        <x:f>IF(COUNT('📥 DADOS BRUTOS'!CT20:CW20)&lt;4,"",SUM('📥 DADOS BRUTOS'!CT20:CW20))</x:f>
      </x:c>
      <x:c r="J20" s="32" t="str">
        <x:f t="shared" si="0">IF(COUNT(E20:I20)&lt;5,"",SUM(E20:I20))</x:f>
      </x:c>
      <x:c r="K20" s="33" t="str">
        <x:f t="shared" si="1">IF(J20="","",IF(J20&lt;=20,"Desconectado",IF(J20&lt;=40,"Despertando",IF(J20&lt;=60,"Emergente",IF(J20&lt;=80,"Integrado","Corporificado")))))</x:f>
      </x:c>
    </x:row>
    <x:row r="21" ht="18" customHeight="1">
      <x:c r="B21" s="26" t="str">
        <x:f>IF(COUNTA('📥 DADOS BRUTOS'!B21)=0,"",'📥 DADOS BRUTOS'!B21)</x:f>
      </x:c>
      <x:c r="C21" s="26" t="str">
        <x:f>IF(COUNTA('📥 DADOS BRUTOS'!C21)=0,"",'📥 DADOS BRUTOS'!C21)</x:f>
      </x:c>
      <x:c r="D21" s="26" t="str">
        <x:f>IF(COUNTA('📥 DADOS BRUTOS'!D21)=0,"",'📥 DADOS BRUTOS'!D21)</x:f>
      </x:c>
      <x:c r="E21" s="27" t="str">
        <x:f>IF(COUNT('📥 DADOS BRUTOS'!CD21:CG21)&lt;4,"",SUM('📥 DADOS BRUTOS'!CD21:CG21))</x:f>
      </x:c>
      <x:c r="F21" s="27" t="str">
        <x:f>IF(COUNT('📥 DADOS BRUTOS'!CH21:CK21)&lt;4,"",SUM('📥 DADOS BRUTOS'!CH21:CK21))</x:f>
      </x:c>
      <x:c r="G21" s="27" t="str">
        <x:f>IF(COUNT('📥 DADOS BRUTOS'!CL21:CO21)&lt;4,"",SUM('📥 DADOS BRUTOS'!CL21:CO21))</x:f>
      </x:c>
      <x:c r="H21" s="27" t="str">
        <x:f>IF(COUNT('📥 DADOS BRUTOS'!CP21:CS21)&lt;4,"",SUM('📥 DADOS BRUTOS'!CP21:CS21))</x:f>
      </x:c>
      <x:c r="I21" s="27" t="str">
        <x:f>IF(COUNT('📥 DADOS BRUTOS'!CT21:CW21)&lt;4,"",SUM('📥 DADOS BRUTOS'!CT21:CW21))</x:f>
      </x:c>
      <x:c r="J21" s="28" t="str">
        <x:f t="shared" si="0">IF(COUNT(E21:I21)&lt;5,"",SUM(E21:I21))</x:f>
      </x:c>
      <x:c r="K21" s="29" t="str">
        <x:f t="shared" si="1">IF(J21="","",IF(J21&lt;=20,"Desconectado",IF(J21&lt;=40,"Despertando",IF(J21&lt;=60,"Emergente",IF(J21&lt;=80,"Integrado","Corporificado")))))</x:f>
      </x:c>
    </x:row>
    <x:row r="22" ht="18" customHeight="1">
      <x:c r="B22" s="30" t="str">
        <x:f>IF(COUNTA('📥 DADOS BRUTOS'!B22)=0,"",'📥 DADOS BRUTOS'!B22)</x:f>
      </x:c>
      <x:c r="C22" s="30" t="str">
        <x:f>IF(COUNTA('📥 DADOS BRUTOS'!C22)=0,"",'📥 DADOS BRUTOS'!C22)</x:f>
      </x:c>
      <x:c r="D22" s="30" t="str">
        <x:f>IF(COUNTA('📥 DADOS BRUTOS'!D22)=0,"",'📥 DADOS BRUTOS'!D22)</x:f>
      </x:c>
      <x:c r="E22" s="31" t="str">
        <x:f>IF(COUNT('📥 DADOS BRUTOS'!CD22:CG22)&lt;4,"",SUM('📥 DADOS BRUTOS'!CD22:CG22))</x:f>
      </x:c>
      <x:c r="F22" s="31" t="str">
        <x:f>IF(COUNT('📥 DADOS BRUTOS'!CH22:CK22)&lt;4,"",SUM('📥 DADOS BRUTOS'!CH22:CK22))</x:f>
      </x:c>
      <x:c r="G22" s="31" t="str">
        <x:f>IF(COUNT('📥 DADOS BRUTOS'!CL22:CO22)&lt;4,"",SUM('📥 DADOS BRUTOS'!CL22:CO22))</x:f>
      </x:c>
      <x:c r="H22" s="31" t="str">
        <x:f>IF(COUNT('📥 DADOS BRUTOS'!CP22:CS22)&lt;4,"",SUM('📥 DADOS BRUTOS'!CP22:CS22))</x:f>
      </x:c>
      <x:c r="I22" s="31" t="str">
        <x:f>IF(COUNT('📥 DADOS BRUTOS'!CT22:CW22)&lt;4,"",SUM('📥 DADOS BRUTOS'!CT22:CW22))</x:f>
      </x:c>
      <x:c r="J22" s="32" t="str">
        <x:f t="shared" si="0">IF(COUNT(E22:I22)&lt;5,"",SUM(E22:I22))</x:f>
      </x:c>
      <x:c r="K22" s="33" t="str">
        <x:f t="shared" si="1">IF(J22="","",IF(J22&lt;=20,"Desconectado",IF(J22&lt;=40,"Despertando",IF(J22&lt;=60,"Emergente",IF(J22&lt;=80,"Integrado","Corporificado")))))</x:f>
      </x:c>
    </x:row>
    <x:row r="23" ht="18" customHeight="1">
      <x:c r="B23" s="26" t="str">
        <x:f>IF(COUNTA('📥 DADOS BRUTOS'!B23)=0,"",'📥 DADOS BRUTOS'!B23)</x:f>
      </x:c>
      <x:c r="C23" s="26" t="str">
        <x:f>IF(COUNTA('📥 DADOS BRUTOS'!C23)=0,"",'📥 DADOS BRUTOS'!C23)</x:f>
      </x:c>
      <x:c r="D23" s="26" t="str">
        <x:f>IF(COUNTA('📥 DADOS BRUTOS'!D23)=0,"",'📥 DADOS BRUTOS'!D23)</x:f>
      </x:c>
      <x:c r="E23" s="27" t="str">
        <x:f>IF(COUNT('📥 DADOS BRUTOS'!CD23:CG23)&lt;4,"",SUM('📥 DADOS BRUTOS'!CD23:CG23))</x:f>
      </x:c>
      <x:c r="F23" s="27" t="str">
        <x:f>IF(COUNT('📥 DADOS BRUTOS'!CH23:CK23)&lt;4,"",SUM('📥 DADOS BRUTOS'!CH23:CK23))</x:f>
      </x:c>
      <x:c r="G23" s="27" t="str">
        <x:f>IF(COUNT('📥 DADOS BRUTOS'!CL23:CO23)&lt;4,"",SUM('📥 DADOS BRUTOS'!CL23:CO23))</x:f>
      </x:c>
      <x:c r="H23" s="27" t="str">
        <x:f>IF(COUNT('📥 DADOS BRUTOS'!CP23:CS23)&lt;4,"",SUM('📥 DADOS BRUTOS'!CP23:CS23))</x:f>
      </x:c>
      <x:c r="I23" s="27" t="str">
        <x:f>IF(COUNT('📥 DADOS BRUTOS'!CT23:CW23)&lt;4,"",SUM('📥 DADOS BRUTOS'!CT23:CW23))</x:f>
      </x:c>
      <x:c r="J23" s="28" t="str">
        <x:f t="shared" si="0">IF(COUNT(E23:I23)&lt;5,"",SUM(E23:I23))</x:f>
      </x:c>
      <x:c r="K23" s="29" t="str">
        <x:f t="shared" si="1">IF(J23="","",IF(J23&lt;=20,"Desconectado",IF(J23&lt;=40,"Despertando",IF(J23&lt;=60,"Emergente",IF(J23&lt;=80,"Integrado","Corporificado")))))</x:f>
      </x:c>
    </x:row>
    <x:row r="24" ht="18" customHeight="1">
      <x:c r="B24" s="30" t="str">
        <x:f>IF(COUNTA('📥 DADOS BRUTOS'!B24)=0,"",'📥 DADOS BRUTOS'!B24)</x:f>
      </x:c>
      <x:c r="C24" s="30" t="str">
        <x:f>IF(COUNTA('📥 DADOS BRUTOS'!C24)=0,"",'📥 DADOS BRUTOS'!C24)</x:f>
      </x:c>
      <x:c r="D24" s="30" t="str">
        <x:f>IF(COUNTA('📥 DADOS BRUTOS'!D24)=0,"",'📥 DADOS BRUTOS'!D24)</x:f>
      </x:c>
      <x:c r="E24" s="31" t="str">
        <x:f>IF(COUNT('📥 DADOS BRUTOS'!CD24:CG24)&lt;4,"",SUM('📥 DADOS BRUTOS'!CD24:CG24))</x:f>
      </x:c>
      <x:c r="F24" s="31" t="str">
        <x:f>IF(COUNT('📥 DADOS BRUTOS'!CH24:CK24)&lt;4,"",SUM('📥 DADOS BRUTOS'!CH24:CK24))</x:f>
      </x:c>
      <x:c r="G24" s="31" t="str">
        <x:f>IF(COUNT('📥 DADOS BRUTOS'!CL24:CO24)&lt;4,"",SUM('📥 DADOS BRUTOS'!CL24:CO24))</x:f>
      </x:c>
      <x:c r="H24" s="31" t="str">
        <x:f>IF(COUNT('📥 DADOS BRUTOS'!CP24:CS24)&lt;4,"",SUM('📥 DADOS BRUTOS'!CP24:CS24))</x:f>
      </x:c>
      <x:c r="I24" s="31" t="str">
        <x:f>IF(COUNT('📥 DADOS BRUTOS'!CT24:CW24)&lt;4,"",SUM('📥 DADOS BRUTOS'!CT24:CW24))</x:f>
      </x:c>
      <x:c r="J24" s="32" t="str">
        <x:f t="shared" si="0">IF(COUNT(E24:I24)&lt;5,"",SUM(E24:I24))</x:f>
      </x:c>
      <x:c r="K24" s="33" t="str">
        <x:f t="shared" si="1">IF(J24="","",IF(J24&lt;=20,"Desconectado",IF(J24&lt;=40,"Despertando",IF(J24&lt;=60,"Emergente",IF(J24&lt;=80,"Integrado","Corporificado")))))</x:f>
      </x:c>
    </x:row>
    <x:row r="25" ht="18" customHeight="1">
      <x:c r="B25" s="26" t="str">
        <x:f>IF(COUNTA('📥 DADOS BRUTOS'!B25)=0,"",'📥 DADOS BRUTOS'!B25)</x:f>
      </x:c>
      <x:c r="C25" s="26" t="str">
        <x:f>IF(COUNTA('📥 DADOS BRUTOS'!C25)=0,"",'📥 DADOS BRUTOS'!C25)</x:f>
      </x:c>
      <x:c r="D25" s="26" t="str">
        <x:f>IF(COUNTA('📥 DADOS BRUTOS'!D25)=0,"",'📥 DADOS BRUTOS'!D25)</x:f>
      </x:c>
      <x:c r="E25" s="27" t="str">
        <x:f>IF(COUNT('📥 DADOS BRUTOS'!CD25:CG25)&lt;4,"",SUM('📥 DADOS BRUTOS'!CD25:CG25))</x:f>
      </x:c>
      <x:c r="F25" s="27" t="str">
        <x:f>IF(COUNT('📥 DADOS BRUTOS'!CH25:CK25)&lt;4,"",SUM('📥 DADOS BRUTOS'!CH25:CK25))</x:f>
      </x:c>
      <x:c r="G25" s="27" t="str">
        <x:f>IF(COUNT('📥 DADOS BRUTOS'!CL25:CO25)&lt;4,"",SUM('📥 DADOS BRUTOS'!CL25:CO25))</x:f>
      </x:c>
      <x:c r="H25" s="27" t="str">
        <x:f>IF(COUNT('📥 DADOS BRUTOS'!CP25:CS25)&lt;4,"",SUM('📥 DADOS BRUTOS'!CP25:CS25))</x:f>
      </x:c>
      <x:c r="I25" s="27" t="str">
        <x:f>IF(COUNT('📥 DADOS BRUTOS'!CT25:CW25)&lt;4,"",SUM('📥 DADOS BRUTOS'!CT25:CW25))</x:f>
      </x:c>
      <x:c r="J25" s="28" t="str">
        <x:f t="shared" si="0">IF(COUNT(E25:I25)&lt;5,"",SUM(E25:I25))</x:f>
      </x:c>
      <x:c r="K25" s="29" t="str">
        <x:f t="shared" si="1">IF(J25="","",IF(J25&lt;=20,"Desconectado",IF(J25&lt;=40,"Despertando",IF(J25&lt;=60,"Emergente",IF(J25&lt;=80,"Integrado","Corporificado")))))</x:f>
      </x:c>
    </x:row>
    <x:row r="26" ht="18" customHeight="1">
      <x:c r="B26" s="30" t="str">
        <x:f>IF(COUNTA('📥 DADOS BRUTOS'!B26)=0,"",'📥 DADOS BRUTOS'!B26)</x:f>
      </x:c>
      <x:c r="C26" s="30" t="str">
        <x:f>IF(COUNTA('📥 DADOS BRUTOS'!C26)=0,"",'📥 DADOS BRUTOS'!C26)</x:f>
      </x:c>
      <x:c r="D26" s="30" t="str">
        <x:f>IF(COUNTA('📥 DADOS BRUTOS'!D26)=0,"",'📥 DADOS BRUTOS'!D26)</x:f>
      </x:c>
      <x:c r="E26" s="31" t="str">
        <x:f>IF(COUNT('📥 DADOS BRUTOS'!CD26:CG26)&lt;4,"",SUM('📥 DADOS BRUTOS'!CD26:CG26))</x:f>
      </x:c>
      <x:c r="F26" s="31" t="str">
        <x:f>IF(COUNT('📥 DADOS BRUTOS'!CH26:CK26)&lt;4,"",SUM('📥 DADOS BRUTOS'!CH26:CK26))</x:f>
      </x:c>
      <x:c r="G26" s="31" t="str">
        <x:f>IF(COUNT('📥 DADOS BRUTOS'!CL26:CO26)&lt;4,"",SUM('📥 DADOS BRUTOS'!CL26:CO26))</x:f>
      </x:c>
      <x:c r="H26" s="31" t="str">
        <x:f>IF(COUNT('📥 DADOS BRUTOS'!CP26:CS26)&lt;4,"",SUM('📥 DADOS BRUTOS'!CP26:CS26))</x:f>
      </x:c>
      <x:c r="I26" s="31" t="str">
        <x:f>IF(COUNT('📥 DADOS BRUTOS'!CT26:CW26)&lt;4,"",SUM('📥 DADOS BRUTOS'!CT26:CW26))</x:f>
      </x:c>
      <x:c r="J26" s="32" t="str">
        <x:f t="shared" si="0">IF(COUNT(E26:I26)&lt;5,"",SUM(E26:I26))</x:f>
      </x:c>
      <x:c r="K26" s="33" t="str">
        <x:f t="shared" si="1">IF(J26="","",IF(J26&lt;=20,"Desconectado",IF(J26&lt;=40,"Despertando",IF(J26&lt;=60,"Emergente",IF(J26&lt;=80,"Integrado","Corporificado")))))</x:f>
      </x:c>
    </x:row>
    <x:row r="27" ht="18" customHeight="1">
      <x:c r="B27" s="26" t="str">
        <x:f>IF(COUNTA('📥 DADOS BRUTOS'!B27)=0,"",'📥 DADOS BRUTOS'!B27)</x:f>
      </x:c>
      <x:c r="C27" s="26" t="str">
        <x:f>IF(COUNTA('📥 DADOS BRUTOS'!C27)=0,"",'📥 DADOS BRUTOS'!C27)</x:f>
      </x:c>
      <x:c r="D27" s="26" t="str">
        <x:f>IF(COUNTA('📥 DADOS BRUTOS'!D27)=0,"",'📥 DADOS BRUTOS'!D27)</x:f>
      </x:c>
      <x:c r="E27" s="27" t="str">
        <x:f>IF(COUNT('📥 DADOS BRUTOS'!CD27:CG27)&lt;4,"",SUM('📥 DADOS BRUTOS'!CD27:CG27))</x:f>
      </x:c>
      <x:c r="F27" s="27" t="str">
        <x:f>IF(COUNT('📥 DADOS BRUTOS'!CH27:CK27)&lt;4,"",SUM('📥 DADOS BRUTOS'!CH27:CK27))</x:f>
      </x:c>
      <x:c r="G27" s="27" t="str">
        <x:f>IF(COUNT('📥 DADOS BRUTOS'!CL27:CO27)&lt;4,"",SUM('📥 DADOS BRUTOS'!CL27:CO27))</x:f>
      </x:c>
      <x:c r="H27" s="27" t="str">
        <x:f>IF(COUNT('📥 DADOS BRUTOS'!CP27:CS27)&lt;4,"",SUM('📥 DADOS BRUTOS'!CP27:CS27))</x:f>
      </x:c>
      <x:c r="I27" s="27" t="str">
        <x:f>IF(COUNT('📥 DADOS BRUTOS'!CT27:CW27)&lt;4,"",SUM('📥 DADOS BRUTOS'!CT27:CW27))</x:f>
      </x:c>
      <x:c r="J27" s="28" t="str">
        <x:f t="shared" si="0">IF(COUNT(E27:I27)&lt;5,"",SUM(E27:I27))</x:f>
      </x:c>
      <x:c r="K27" s="29" t="str">
        <x:f t="shared" si="1">IF(J27="","",IF(J27&lt;=20,"Desconectado",IF(J27&lt;=40,"Despertando",IF(J27&lt;=60,"Emergente",IF(J27&lt;=80,"Integrado","Corporificado")))))</x:f>
      </x:c>
    </x:row>
    <x:row r="28" ht="18" customHeight="1">
      <x:c r="B28" s="30" t="str">
        <x:f>IF(COUNTA('📥 DADOS BRUTOS'!B28)=0,"",'📥 DADOS BRUTOS'!B28)</x:f>
      </x:c>
      <x:c r="C28" s="30" t="str">
        <x:f>IF(COUNTA('📥 DADOS BRUTOS'!C28)=0,"",'📥 DADOS BRUTOS'!C28)</x:f>
      </x:c>
      <x:c r="D28" s="30" t="str">
        <x:f>IF(COUNTA('📥 DADOS BRUTOS'!D28)=0,"",'📥 DADOS BRUTOS'!D28)</x:f>
      </x:c>
      <x:c r="E28" s="31" t="str">
        <x:f>IF(COUNT('📥 DADOS BRUTOS'!CD28:CG28)&lt;4,"",SUM('📥 DADOS BRUTOS'!CD28:CG28))</x:f>
      </x:c>
      <x:c r="F28" s="31" t="str">
        <x:f>IF(COUNT('📥 DADOS BRUTOS'!CH28:CK28)&lt;4,"",SUM('📥 DADOS BRUTOS'!CH28:CK28))</x:f>
      </x:c>
      <x:c r="G28" s="31" t="str">
        <x:f>IF(COUNT('📥 DADOS BRUTOS'!CL28:CO28)&lt;4,"",SUM('📥 DADOS BRUTOS'!CL28:CO28))</x:f>
      </x:c>
      <x:c r="H28" s="31" t="str">
        <x:f>IF(COUNT('📥 DADOS BRUTOS'!CP28:CS28)&lt;4,"",SUM('📥 DADOS BRUTOS'!CP28:CS28))</x:f>
      </x:c>
      <x:c r="I28" s="31" t="str">
        <x:f>IF(COUNT('📥 DADOS BRUTOS'!CT28:CW28)&lt;4,"",SUM('📥 DADOS BRUTOS'!CT28:CW28))</x:f>
      </x:c>
      <x:c r="J28" s="32" t="str">
        <x:f t="shared" si="0">IF(COUNT(E28:I28)&lt;5,"",SUM(E28:I28))</x:f>
      </x:c>
      <x:c r="K28" s="33" t="str">
        <x:f t="shared" si="1">IF(J28="","",IF(J28&lt;=20,"Desconectado",IF(J28&lt;=40,"Despertando",IF(J28&lt;=60,"Emergente",IF(J28&lt;=80,"Integrado","Corporificado")))))</x:f>
      </x:c>
    </x:row>
    <x:row r="29" ht="18" customHeight="1">
      <x:c r="B29" s="26" t="str">
        <x:f>IF(COUNTA('📥 DADOS BRUTOS'!B29)=0,"",'📥 DADOS BRUTOS'!B29)</x:f>
      </x:c>
      <x:c r="C29" s="26" t="str">
        <x:f>IF(COUNTA('📥 DADOS BRUTOS'!C29)=0,"",'📥 DADOS BRUTOS'!C29)</x:f>
      </x:c>
      <x:c r="D29" s="26" t="str">
        <x:f>IF(COUNTA('📥 DADOS BRUTOS'!D29)=0,"",'📥 DADOS BRUTOS'!D29)</x:f>
      </x:c>
      <x:c r="E29" s="27" t="str">
        <x:f>IF(COUNT('📥 DADOS BRUTOS'!CD29:CG29)&lt;4,"",SUM('📥 DADOS BRUTOS'!CD29:CG29))</x:f>
      </x:c>
      <x:c r="F29" s="27" t="str">
        <x:f>IF(COUNT('📥 DADOS BRUTOS'!CH29:CK29)&lt;4,"",SUM('📥 DADOS BRUTOS'!CH29:CK29))</x:f>
      </x:c>
      <x:c r="G29" s="27" t="str">
        <x:f>IF(COUNT('📥 DADOS BRUTOS'!CL29:CO29)&lt;4,"",SUM('📥 DADOS BRUTOS'!CL29:CO29))</x:f>
      </x:c>
      <x:c r="H29" s="27" t="str">
        <x:f>IF(COUNT('📥 DADOS BRUTOS'!CP29:CS29)&lt;4,"",SUM('📥 DADOS BRUTOS'!CP29:CS29))</x:f>
      </x:c>
      <x:c r="I29" s="27" t="str">
        <x:f>IF(COUNT('📥 DADOS BRUTOS'!CT29:CW29)&lt;4,"",SUM('📥 DADOS BRUTOS'!CT29:CW29))</x:f>
      </x:c>
      <x:c r="J29" s="28" t="str">
        <x:f t="shared" si="0">IF(COUNT(E29:I29)&lt;5,"",SUM(E29:I29))</x:f>
      </x:c>
      <x:c r="K29" s="29" t="str">
        <x:f t="shared" si="1">IF(J29="","",IF(J29&lt;=20,"Desconectado",IF(J29&lt;=40,"Despertando",IF(J29&lt;=60,"Emergente",IF(J29&lt;=80,"Integrado","Corporificado")))))</x:f>
      </x:c>
    </x:row>
    <x:row r="30" ht="18" customHeight="1">
      <x:c r="B30" s="30" t="str">
        <x:f>IF(COUNTA('📥 DADOS BRUTOS'!B30)=0,"",'📥 DADOS BRUTOS'!B30)</x:f>
      </x:c>
      <x:c r="C30" s="30" t="str">
        <x:f>IF(COUNTA('📥 DADOS BRUTOS'!C30)=0,"",'📥 DADOS BRUTOS'!C30)</x:f>
      </x:c>
      <x:c r="D30" s="30" t="str">
        <x:f>IF(COUNTA('📥 DADOS BRUTOS'!D30)=0,"",'📥 DADOS BRUTOS'!D30)</x:f>
      </x:c>
      <x:c r="E30" s="31" t="str">
        <x:f>IF(COUNT('📥 DADOS BRUTOS'!CD30:CG30)&lt;4,"",SUM('📥 DADOS BRUTOS'!CD30:CG30))</x:f>
      </x:c>
      <x:c r="F30" s="31" t="str">
        <x:f>IF(COUNT('📥 DADOS BRUTOS'!CH30:CK30)&lt;4,"",SUM('📥 DADOS BRUTOS'!CH30:CK30))</x:f>
      </x:c>
      <x:c r="G30" s="31" t="str">
        <x:f>IF(COUNT('📥 DADOS BRUTOS'!CL30:CO30)&lt;4,"",SUM('📥 DADOS BRUTOS'!CL30:CO30))</x:f>
      </x:c>
      <x:c r="H30" s="31" t="str">
        <x:f>IF(COUNT('📥 DADOS BRUTOS'!CP30:CS30)&lt;4,"",SUM('📥 DADOS BRUTOS'!CP30:CS30))</x:f>
      </x:c>
      <x:c r="I30" s="31" t="str">
        <x:f>IF(COUNT('📥 DADOS BRUTOS'!CT30:CW30)&lt;4,"",SUM('📥 DADOS BRUTOS'!CT30:CW30))</x:f>
      </x:c>
      <x:c r="J30" s="32" t="str">
        <x:f t="shared" si="0">IF(COUNT(E30:I30)&lt;5,"",SUM(E30:I30))</x:f>
      </x:c>
      <x:c r="K30" s="33" t="str">
        <x:f t="shared" si="1">IF(J30="","",IF(J30&lt;=20,"Desconectado",IF(J30&lt;=40,"Despertando",IF(J30&lt;=60,"Emergente",IF(J30&lt;=80,"Integrado","Corporificado")))))</x:f>
      </x:c>
    </x:row>
    <x:row r="31" ht="18" customHeight="1">
      <x:c r="B31" s="26" t="str">
        <x:f>IF(COUNTA('📥 DADOS BRUTOS'!B31)=0,"",'📥 DADOS BRUTOS'!B31)</x:f>
      </x:c>
      <x:c r="C31" s="26" t="str">
        <x:f>IF(COUNTA('📥 DADOS BRUTOS'!C31)=0,"",'📥 DADOS BRUTOS'!C31)</x:f>
      </x:c>
      <x:c r="D31" s="26" t="str">
        <x:f>IF(COUNTA('📥 DADOS BRUTOS'!D31)=0,"",'📥 DADOS BRUTOS'!D31)</x:f>
      </x:c>
      <x:c r="E31" s="27" t="str">
        <x:f>IF(COUNT('📥 DADOS BRUTOS'!CD31:CG31)&lt;4,"",SUM('📥 DADOS BRUTOS'!CD31:CG31))</x:f>
      </x:c>
      <x:c r="F31" s="27" t="str">
        <x:f>IF(COUNT('📥 DADOS BRUTOS'!CH31:CK31)&lt;4,"",SUM('📥 DADOS BRUTOS'!CH31:CK31))</x:f>
      </x:c>
      <x:c r="G31" s="27" t="str">
        <x:f>IF(COUNT('📥 DADOS BRUTOS'!CL31:CO31)&lt;4,"",SUM('📥 DADOS BRUTOS'!CL31:CO31))</x:f>
      </x:c>
      <x:c r="H31" s="27" t="str">
        <x:f>IF(COUNT('📥 DADOS BRUTOS'!CP31:CS31)&lt;4,"",SUM('📥 DADOS BRUTOS'!CP31:CS31))</x:f>
      </x:c>
      <x:c r="I31" s="27" t="str">
        <x:f>IF(COUNT('📥 DADOS BRUTOS'!CT31:CW31)&lt;4,"",SUM('📥 DADOS BRUTOS'!CT31:CW31))</x:f>
      </x:c>
      <x:c r="J31" s="28" t="str">
        <x:f t="shared" si="0">IF(COUNT(E31:I31)&lt;5,"",SUM(E31:I31))</x:f>
      </x:c>
      <x:c r="K31" s="29" t="str">
        <x:f t="shared" si="1">IF(J31="","",IF(J31&lt;=20,"Desconectado",IF(J31&lt;=40,"Despertando",IF(J31&lt;=60,"Emergente",IF(J31&lt;=80,"Integrado","Corporificado")))))</x:f>
      </x:c>
    </x:row>
    <x:row r="32" ht="18" customHeight="1">
      <x:c r="B32" s="30" t="str">
        <x:f>IF(COUNTA('📥 DADOS BRUTOS'!B32)=0,"",'📥 DADOS BRUTOS'!B32)</x:f>
      </x:c>
      <x:c r="C32" s="30" t="str">
        <x:f>IF(COUNTA('📥 DADOS BRUTOS'!C32)=0,"",'📥 DADOS BRUTOS'!C32)</x:f>
      </x:c>
      <x:c r="D32" s="30" t="str">
        <x:f>IF(COUNTA('📥 DADOS BRUTOS'!D32)=0,"",'📥 DADOS BRUTOS'!D32)</x:f>
      </x:c>
      <x:c r="E32" s="31" t="str">
        <x:f>IF(COUNT('📥 DADOS BRUTOS'!CD32:CG32)&lt;4,"",SUM('📥 DADOS BRUTOS'!CD32:CG32))</x:f>
      </x:c>
      <x:c r="F32" s="31" t="str">
        <x:f>IF(COUNT('📥 DADOS BRUTOS'!CH32:CK32)&lt;4,"",SUM('📥 DADOS BRUTOS'!CH32:CK32))</x:f>
      </x:c>
      <x:c r="G32" s="31" t="str">
        <x:f>IF(COUNT('📥 DADOS BRUTOS'!CL32:CO32)&lt;4,"",SUM('📥 DADOS BRUTOS'!CL32:CO32))</x:f>
      </x:c>
      <x:c r="H32" s="31" t="str">
        <x:f>IF(COUNT('📥 DADOS BRUTOS'!CP32:CS32)&lt;4,"",SUM('📥 DADOS BRUTOS'!CP32:CS32))</x:f>
      </x:c>
      <x:c r="I32" s="31" t="str">
        <x:f>IF(COUNT('📥 DADOS BRUTOS'!CT32:CW32)&lt;4,"",SUM('📥 DADOS BRUTOS'!CT32:CW32))</x:f>
      </x:c>
      <x:c r="J32" s="32" t="str">
        <x:f t="shared" si="0">IF(COUNT(E32:I32)&lt;5,"",SUM(E32:I32))</x:f>
      </x:c>
      <x:c r="K32" s="33" t="str">
        <x:f t="shared" si="1">IF(J32="","",IF(J32&lt;=20,"Desconectado",IF(J32&lt;=40,"Despertando",IF(J32&lt;=60,"Emergente",IF(J32&lt;=80,"Integrado","Corporificado")))))</x:f>
      </x:c>
    </x:row>
    <x:row r="34" ht="21.75" customHeight="1">
      <x:c r="B34" s="151" t="s">
        <x:v>45</x:v>
      </x:c>
      <x:c r="C34" s="145"/>
      <x:c r="D34" s="145"/>
      <x:c r="E34" s="145"/>
      <x:c r="F34" s="145"/>
      <x:c r="G34" s="145"/>
      <x:c r="H34" s="145"/>
      <x:c r="I34" s="145"/>
      <x:c r="J34" s="145"/>
      <x:c r="K34" s="150"/>
    </x:row>
    <x:row r="35" ht="15" customHeight="1">
      <x:c r="B35" s="34" t="s">
        <x:v>46</x:v>
      </x:c>
      <x:c r="C35" s="18" t="s">
        <x:v>47</x:v>
      </x:c>
      <x:c r="D35" s="18" t="s">
        <x:v>48</x:v>
      </x:c>
      <x:c r="E35" s="18" t="s">
        <x:v>49</x:v>
      </x:c>
      <x:c r="F35" s="18" t="s">
        <x:v>50</x:v>
      </x:c>
    </x:row>
    <x:row r="36" ht="18" customHeight="1">
      <x:c r="B36" s="35" t="s">
        <x:v>38</x:v>
      </x:c>
      <x:c r="C36" s="36" t="str">
        <x:f>IFERROR(AVERAGEIF(C3:C32,"S1",E3:E32),"")</x:f>
      </x:c>
      <x:c r="D36" s="36" t="str">
        <x:f>IFERROR(AVERAGEIF(C3:C32,"S4",E3:E32),"")</x:f>
      </x:c>
      <x:c r="E36" s="36" t="str">
        <x:f>IFERROR(AVERAGEIF(C3:C32,"S8",E3:E32),"")</x:f>
      </x:c>
      <x:c r="F36" s="37" t="n">
        <x:f t="shared" ref="F36:F41" si="2">IFERROR(E36-C36,"")</x:f>
        <x:v>0</x:v>
      </x:c>
    </x:row>
    <x:row r="37" ht="18" customHeight="1">
      <x:c r="B37" s="35" t="s">
        <x:v>39</x:v>
      </x:c>
      <x:c r="C37" s="36" t="str">
        <x:f>IFERROR(AVERAGEIF(C3:C32,"S1",F3:F32),"")</x:f>
      </x:c>
      <x:c r="D37" s="36" t="str">
        <x:f>IFERROR(AVERAGEIF(C3:C32,"S4",F3:F32),"")</x:f>
      </x:c>
      <x:c r="E37" s="36" t="str">
        <x:f>IFERROR(AVERAGEIF(C3:C32,"S8",F3:F32),"")</x:f>
      </x:c>
      <x:c r="F37" s="37" t="str">
        <x:f t="shared" si="2"/>
      </x:c>
    </x:row>
    <x:row r="38" ht="18" customHeight="1">
      <x:c r="B38" s="35" t="s">
        <x:v>40</x:v>
      </x:c>
      <x:c r="C38" s="36" t="str">
        <x:f>IFERROR(AVERAGEIF(C3:C32,"S1",G3:G32),"")</x:f>
      </x:c>
      <x:c r="D38" s="36" t="str">
        <x:f>IFERROR(AVERAGEIF(C3:C32,"S4",G3:G32),"")</x:f>
      </x:c>
      <x:c r="E38" s="36" t="str">
        <x:f>IFERROR(AVERAGEIF(C3:C32,"S8",G3:G32),"")</x:f>
      </x:c>
      <x:c r="F38" s="37" t="str">
        <x:f t="shared" si="2"/>
      </x:c>
    </x:row>
    <x:row r="39" ht="18" customHeight="1">
      <x:c r="B39" s="35" t="s">
        <x:v>41</x:v>
      </x:c>
      <x:c r="C39" s="36" t="str">
        <x:f>IFERROR(AVERAGEIF(C3:C32,"S1",H3:H32),"")</x:f>
      </x:c>
      <x:c r="D39" s="36" t="str">
        <x:f>IFERROR(AVERAGEIF(C3:C32,"S4",H3:H32),"")</x:f>
      </x:c>
      <x:c r="E39" s="36" t="str">
        <x:f>IFERROR(AVERAGEIF(C3:C32,"S8",H3:H32),"")</x:f>
      </x:c>
      <x:c r="F39" s="37" t="str">
        <x:f t="shared" si="2"/>
      </x:c>
    </x:row>
    <x:row r="40" ht="18" customHeight="1">
      <x:c r="B40" s="35" t="s">
        <x:v>42</x:v>
      </x:c>
      <x:c r="C40" s="36" t="str">
        <x:f>IFERROR(AVERAGEIF(C3:C32,"S1",I3:I32),"")</x:f>
      </x:c>
      <x:c r="D40" s="36" t="str">
        <x:f>IFERROR(AVERAGEIF(C3:C32,"S4",I3:I32),"")</x:f>
      </x:c>
      <x:c r="E40" s="36" t="str">
        <x:f>IFERROR(AVERAGEIF(C3:C32,"S8",I3:I32),"")</x:f>
      </x:c>
      <x:c r="F40" s="37" t="str">
        <x:f t="shared" si="2"/>
      </x:c>
    </x:row>
    <x:row r="41" ht="18" customHeight="1">
      <x:c r="B41" s="38" t="s">
        <x:v>51</x:v>
      </x:c>
      <x:c r="C41" s="39" t="str">
        <x:f>IFERROR(AVERAGEIF(C3:C32,"S1",J3:J32),"")</x:f>
      </x:c>
      <x:c r="D41" s="39" t="str">
        <x:f>IFERROR(AVERAGEIF(C3:C32,"S4",J3:J32),"")</x:f>
      </x:c>
      <x:c r="E41" s="39" t="str">
        <x:f>IFERROR(AVERAGEIF(C3:C32,"S8",J3:J32),"")</x:f>
      </x:c>
      <x:c r="F41" s="40" t="str">
        <x:f t="shared" si="2"/>
      </x:c>
    </x:row>
    <x:row r="44" ht="21.75" customHeight="1">
      <x:c r="B44" s="151" t="s">
        <x:v>52</x:v>
      </x:c>
      <x:c r="C44" s="145"/>
      <x:c r="D44" s="145"/>
      <x:c r="E44" s="145"/>
      <x:c r="F44" s="145"/>
      <x:c r="G44" s="145"/>
      <x:c r="H44" s="145"/>
      <x:c r="I44" s="145"/>
      <x:c r="J44" s="145"/>
      <x:c r="K44" s="150"/>
    </x:row>
    <x:row r="45" ht="15" customHeight="1">
      <x:c r="B45" s="34" t="s">
        <x:v>53</x:v>
      </x:c>
      <x:c r="C45" s="18" t="s">
        <x:v>54</x:v>
      </x:c>
      <x:c r="D45" s="18" t="s">
        <x:v>55</x:v>
      </x:c>
      <x:c r="E45" s="18" t="s">
        <x:v>56</x:v>
      </x:c>
      <x:c r="F45" s="18" t="s">
        <x:v>57</x:v>
      </x:c>
      <x:c r="G45" s="18" t="s">
        <x:v>58</x:v>
      </x:c>
      <x:c r="H45" s="18" t="s">
        <x:v>59</x:v>
      </x:c>
    </x:row>
    <x:row r="46" ht="18" customHeight="1">
      <x:c r="B46" s="41" t="s">
        <x:v>60</x:v>
      </x:c>
      <x:c r="C46" s="42" t="n">
        <x:f>IFERROR(COUNTIFS(C3:C32,"S1",K3:K32,"Desconectado"),0)</x:f>
        <x:v>0</x:v>
      </x:c>
      <x:c r="D46" s="42" t="n">
        <x:f>IFERROR(COUNTIFS(C3:C32,"S4",K3:K32,"Desconectado"),0)</x:f>
        <x:v>0</x:v>
      </x:c>
      <x:c r="E46" s="42" t="n">
        <x:f>IFERROR(COUNTIFS(C3:C32,"S8",K3:K32,"Desconectado"),0)</x:f>
        <x:v>0</x:v>
      </x:c>
      <x:c r="F46" s="43" t="str">
        <x:f>IFERROR(C46/COUNTIF(C3:C32,"S1"),"")</x:f>
      </x:c>
      <x:c r="G46" s="43" t="str">
        <x:f>IFERROR(D46/COUNTIF(C3:C32,"S4"),"")</x:f>
      </x:c>
      <x:c r="H46" s="43" t="str">
        <x:f>IFERROR(E46/COUNTIF(C3:C32,"S8"),"")</x:f>
      </x:c>
    </x:row>
    <x:row r="47" ht="18" customHeight="1">
      <x:c r="B47" s="44" t="s">
        <x:v>61</x:v>
      </x:c>
      <x:c r="C47" s="45" t="n">
        <x:f>IFERROR(COUNTIFS(C3:C32,"S1",K3:K32,"Despertando"),0)</x:f>
        <x:v>0</x:v>
      </x:c>
      <x:c r="D47" s="45" t="n">
        <x:f>IFERROR(COUNTIFS(C3:C32,"S4",K3:K32,"Despertando"),0)</x:f>
        <x:v>0</x:v>
      </x:c>
      <x:c r="E47" s="45" t="n">
        <x:f>IFERROR(COUNTIFS(C3:C32,"S8",K3:K32,"Despertando"),0)</x:f>
        <x:v>0</x:v>
      </x:c>
      <x:c r="F47" s="46" t="str">
        <x:f>IFERROR(C47/COUNTIF(C3:C32,"S1"),"")</x:f>
      </x:c>
      <x:c r="G47" s="46" t="str">
        <x:f>IFERROR(D47/COUNTIF(C3:C32,"S4"),"")</x:f>
      </x:c>
      <x:c r="H47" s="46" t="str">
        <x:f>IFERROR(E47/COUNTIF(C3:C32,"S8"),"")</x:f>
      </x:c>
    </x:row>
    <x:row r="48" ht="18" customHeight="1">
      <x:c r="B48" s="47" t="s">
        <x:v>62</x:v>
      </x:c>
      <x:c r="C48" s="48" t="n">
        <x:f>IFERROR(COUNTIFS(C3:C32,"S1",K3:K32,"Emergente"),0)</x:f>
        <x:v>0</x:v>
      </x:c>
      <x:c r="D48" s="48" t="n">
        <x:f>IFERROR(COUNTIFS(C3:C32,"S4",K3:K32,"Emergente"),0)</x:f>
        <x:v>0</x:v>
      </x:c>
      <x:c r="E48" s="48" t="n">
        <x:f>IFERROR(COUNTIFS(C3:C32,"S8",K3:K32,"Emergente"),0)</x:f>
        <x:v>0</x:v>
      </x:c>
      <x:c r="F48" s="49" t="str">
        <x:f>IFERROR(C48/COUNTIF(C3:C32,"S1"),"")</x:f>
      </x:c>
      <x:c r="G48" s="49" t="str">
        <x:f>IFERROR(D48/COUNTIF(C3:C32,"S4"),"")</x:f>
      </x:c>
      <x:c r="H48" s="49" t="str">
        <x:f>IFERROR(E48/COUNTIF(C3:C32,"S8"),"")</x:f>
      </x:c>
    </x:row>
    <x:row r="49" ht="18" customHeight="1">
      <x:c r="B49" s="50" t="s">
        <x:v>63</x:v>
      </x:c>
      <x:c r="C49" s="51" t="n">
        <x:f>IFERROR(COUNTIFS(C3:C32,"S1",K3:K32,"Integrado"),0)</x:f>
        <x:v>0</x:v>
      </x:c>
      <x:c r="D49" s="51" t="n">
        <x:f>IFERROR(COUNTIFS(C3:C32,"S4",K3:K32,"Integrado"),0)</x:f>
        <x:v>0</x:v>
      </x:c>
      <x:c r="E49" s="51" t="n">
        <x:f>IFERROR(COUNTIFS(C3:C32,"S8",K3:K32,"Integrado"),0)</x:f>
        <x:v>0</x:v>
      </x:c>
      <x:c r="F49" s="52" t="str">
        <x:f>IFERROR(C49/COUNTIF(C3:C32,"S1"),"")</x:f>
      </x:c>
      <x:c r="G49" s="52" t="str">
        <x:f>IFERROR(D49/COUNTIF(C3:C32,"S4"),"")</x:f>
      </x:c>
      <x:c r="H49" s="52" t="str">
        <x:f>IFERROR(E49/COUNTIF(C3:C32,"S8"),"")</x:f>
      </x:c>
    </x:row>
    <x:row r="50" ht="18" customHeight="1">
      <x:c r="B50" s="53" t="s">
        <x:v>64</x:v>
      </x:c>
      <x:c r="C50" s="54" t="n">
        <x:f>IFERROR(COUNTIFS(C3:C32,"S1",K3:K32,"Corporificado"),0)</x:f>
        <x:v>0</x:v>
      </x:c>
      <x:c r="D50" s="54" t="n">
        <x:f>IFERROR(COUNTIFS(C3:C32,"S4",K3:K32,"Corporificado"),0)</x:f>
        <x:v>0</x:v>
      </x:c>
      <x:c r="E50" s="54" t="n">
        <x:f>IFERROR(COUNTIFS(C3:C32,"S8",K3:K32,"Corporificado"),0)</x:f>
        <x:v>0</x:v>
      </x:c>
      <x:c r="F50" s="55" t="str">
        <x:f>IFERROR(C50/COUNTIF(C3:C32,"S1"),"")</x:f>
      </x:c>
      <x:c r="G50" s="55" t="str">
        <x:f>IFERROR(D50/COUNTIF(C3:C32,"S4"),"")</x:f>
      </x:c>
      <x:c r="H50" s="55" t="str">
        <x:f>IFERROR(E50/COUNTIF(C3:C32,"S8"),"")</x:f>
      </x:c>
    </x:row>
  </x:sheetData>
  <x:mergeCells>
    <x:mergeCell ref="B1:D1"/>
    <x:mergeCell ref="B44:K44"/>
    <x:mergeCell ref="E1:I1"/>
    <x:mergeCell ref="J1:K1"/>
    <x:mergeCell ref="B34:K34"/>
  </x:mergeCells>
  <x:conditionalFormatting sqref="J3:J32">
    <x:cfRule type="colorScale" priority="2">
      <x:colorScale>
        <x:cfvo type="num" val="0"/>
        <x:cfvo type="num" val="50"/>
        <x:cfvo type="num" val="100"/>
        <x:color rgb="FFE74C3C"/>
        <x:color rgb="FFF39C12"/>
        <x:color rgb="FF27AE60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5"/>
  <x:cols>
    <x:col min="1" max="1" width="3" customWidth="1"/>
    <x:col min="2" max="2" width="18" customWidth="1"/>
    <x:col min="3" max="3" width="10" customWidth="1"/>
    <x:col min="4" max="4" width="12" customWidth="1"/>
    <x:col min="5" max="5" width="16" customWidth="1"/>
    <x:col min="6" max="6" width="18" customWidth="1"/>
  </x:cols>
  <x:sheetData>
    <x:row r="1" ht="21.75" customHeight="1">
      <x:c r="B1" s="149" t="s">
        <x:v>32</x:v>
      </x:c>
      <x:c r="C1" s="145"/>
      <x:c r="D1" s="150"/>
      <x:c r="E1" s="159" t="s">
        <x:v>65</x:v>
      </x:c>
      <x:c r="F1" s="150"/>
    </x:row>
    <x:row r="2" ht="34.5" customHeight="1">
      <x:c r="B2" s="18" t="s">
        <x:v>35</x:v>
      </x:c>
      <x:c r="C2" s="18" t="s">
        <x:v>36</x:v>
      </x:c>
      <x:c r="D2" s="18" t="s">
        <x:v>37</x:v>
      </x:c>
      <x:c r="E2" s="56" t="s">
        <x:v>66</x:v>
      </x:c>
      <x:c r="F2" s="57" t="str">
        <x:v>Leitura recomendada</x:v>
      </x:c>
    </x:row>
    <x:row r="3" ht="18" customHeight="1">
      <x:c r="B3" s="26" t="str">
        <x:f>IF(COUNTA('📥 DADOS BRUTOS'!B3)=0,"",'📥 DADOS BRUTOS'!B3)</x:f>
      </x:c>
      <x:c r="C3" s="26" t="str">
        <x:f>IF(COUNTA('📥 DADOS BRUTOS'!C3)=0,"",'📥 DADOS BRUTOS'!C3)</x:f>
      </x:c>
      <x:c r="D3" s="26" t="str">
        <x:f>IF(COUNTA('📥 DADOS BRUTOS'!D3)=0,"",'📥 DADOS BRUTOS'!D3)</x:f>
      </x:c>
      <x:c r="E3" s="58" t="str">
        <x:f>IF(COUNT('📥 DADOS BRUTOS'!CX3:DG3)&lt;10,"",SUM('📥 DADOS BRUTOS'!CX3:DG3))</x:f>
      </x:c>
      <x:c r="F3" s="29" t="str">
        <x:f t="shared" ref="F3:F32" si="0">IF(E3="","","Acompanhar evolução")</x:f>
      </x:c>
    </x:row>
    <x:row r="4" ht="18" customHeight="1">
      <x:c r="B4" s="30" t="str">
        <x:f>IF(COUNTA('📥 DADOS BRUTOS'!B4)=0,"",'📥 DADOS BRUTOS'!B4)</x:f>
      </x:c>
      <x:c r="C4" s="30" t="str">
        <x:f>IF(COUNTA('📥 DADOS BRUTOS'!C4)=0,"",'📥 DADOS BRUTOS'!C4)</x:f>
      </x:c>
      <x:c r="D4" s="30" t="str">
        <x:f>IF(COUNTA('📥 DADOS BRUTOS'!D4)=0,"",'📥 DADOS BRUTOS'!D4)</x:f>
      </x:c>
      <x:c r="E4" s="59" t="str">
        <x:f>IF(COUNT('📥 DADOS BRUTOS'!CX4:DG4)&lt;10,"",SUM('📥 DADOS BRUTOS'!CX4:DG4))</x:f>
      </x:c>
      <x:c r="F4" s="33" t="str">
        <x:f t="shared" si="0">IF(E4="","","Acompanhar evolução")</x:f>
      </x:c>
    </x:row>
    <x:row r="5" ht="18" customHeight="1">
      <x:c r="B5" s="26" t="str">
        <x:f>IF(COUNTA('📥 DADOS BRUTOS'!B5)=0,"",'📥 DADOS BRUTOS'!B5)</x:f>
      </x:c>
      <x:c r="C5" s="26" t="str">
        <x:f>IF(COUNTA('📥 DADOS BRUTOS'!C5)=0,"",'📥 DADOS BRUTOS'!C5)</x:f>
      </x:c>
      <x:c r="D5" s="26" t="str">
        <x:f>IF(COUNTA('📥 DADOS BRUTOS'!D5)=0,"",'📥 DADOS BRUTOS'!D5)</x:f>
      </x:c>
      <x:c r="E5" s="58" t="str">
        <x:f>IF(COUNT('📥 DADOS BRUTOS'!CX5:DG5)&lt;10,"",SUM('📥 DADOS BRUTOS'!CX5:DG5))</x:f>
      </x:c>
      <x:c r="F5" s="29" t="str">
        <x:f t="shared" si="0">IF(E5="","","Acompanhar evolução")</x:f>
      </x:c>
    </x:row>
    <x:row r="6" ht="18" customHeight="1">
      <x:c r="B6" s="30" t="str">
        <x:f>IF(COUNTA('📥 DADOS BRUTOS'!B6)=0,"",'📥 DADOS BRUTOS'!B6)</x:f>
      </x:c>
      <x:c r="C6" s="30" t="str">
        <x:f>IF(COUNTA('📥 DADOS BRUTOS'!C6)=0,"",'📥 DADOS BRUTOS'!C6)</x:f>
      </x:c>
      <x:c r="D6" s="30" t="str">
        <x:f>IF(COUNTA('📥 DADOS BRUTOS'!D6)=0,"",'📥 DADOS BRUTOS'!D6)</x:f>
      </x:c>
      <x:c r="E6" s="59" t="str">
        <x:f>IF(COUNT('📥 DADOS BRUTOS'!CX6:DG6)&lt;10,"",SUM('📥 DADOS BRUTOS'!CX6:DG6))</x:f>
      </x:c>
      <x:c r="F6" s="33" t="str">
        <x:f t="shared" si="0">IF(E6="","","Acompanhar evolução")</x:f>
      </x:c>
    </x:row>
    <x:row r="7" ht="18" customHeight="1">
      <x:c r="B7" s="26" t="str">
        <x:f>IF(COUNTA('📥 DADOS BRUTOS'!B7)=0,"",'📥 DADOS BRUTOS'!B7)</x:f>
      </x:c>
      <x:c r="C7" s="26" t="str">
        <x:f>IF(COUNTA('📥 DADOS BRUTOS'!C7)=0,"",'📥 DADOS BRUTOS'!C7)</x:f>
      </x:c>
      <x:c r="D7" s="26" t="str">
        <x:f>IF(COUNTA('📥 DADOS BRUTOS'!D7)=0,"",'📥 DADOS BRUTOS'!D7)</x:f>
      </x:c>
      <x:c r="E7" s="58" t="str">
        <x:f>IF(COUNT('📥 DADOS BRUTOS'!CX7:DG7)&lt;10,"",SUM('📥 DADOS BRUTOS'!CX7:DG7))</x:f>
      </x:c>
      <x:c r="F7" s="29" t="str">
        <x:f t="shared" si="0">IF(E7="","","Acompanhar evolução")</x:f>
      </x:c>
    </x:row>
    <x:row r="8" ht="18" customHeight="1">
      <x:c r="B8" s="30" t="str">
        <x:f>IF(COUNTA('📥 DADOS BRUTOS'!B8)=0,"",'📥 DADOS BRUTOS'!B8)</x:f>
      </x:c>
      <x:c r="C8" s="30" t="str">
        <x:f>IF(COUNTA('📥 DADOS BRUTOS'!C8)=0,"",'📥 DADOS BRUTOS'!C8)</x:f>
      </x:c>
      <x:c r="D8" s="30" t="str">
        <x:f>IF(COUNTA('📥 DADOS BRUTOS'!D8)=0,"",'📥 DADOS BRUTOS'!D8)</x:f>
      </x:c>
      <x:c r="E8" s="59" t="str">
        <x:f>IF(COUNT('📥 DADOS BRUTOS'!CX8:DG8)&lt;10,"",SUM('📥 DADOS BRUTOS'!CX8:DG8))</x:f>
      </x:c>
      <x:c r="F8" s="33" t="str">
        <x:f t="shared" si="0">IF(E8="","","Acompanhar evolução")</x:f>
      </x:c>
    </x:row>
    <x:row r="9" ht="18" customHeight="1">
      <x:c r="B9" s="26" t="str">
        <x:f>IF(COUNTA('📥 DADOS BRUTOS'!B9)=0,"",'📥 DADOS BRUTOS'!B9)</x:f>
      </x:c>
      <x:c r="C9" s="26" t="str">
        <x:f>IF(COUNTA('📥 DADOS BRUTOS'!C9)=0,"",'📥 DADOS BRUTOS'!C9)</x:f>
      </x:c>
      <x:c r="D9" s="26" t="str">
        <x:f>IF(COUNTA('📥 DADOS BRUTOS'!D9)=0,"",'📥 DADOS BRUTOS'!D9)</x:f>
      </x:c>
      <x:c r="E9" s="58" t="str">
        <x:f>IF(COUNT('📥 DADOS BRUTOS'!CX9:DG9)&lt;10,"",SUM('📥 DADOS BRUTOS'!CX9:DG9))</x:f>
      </x:c>
      <x:c r="F9" s="29" t="str">
        <x:f t="shared" si="0">IF(E9="","","Acompanhar evolução")</x:f>
      </x:c>
    </x:row>
    <x:row r="10" ht="18" customHeight="1">
      <x:c r="B10" s="30" t="str">
        <x:f>IF(COUNTA('📥 DADOS BRUTOS'!B10)=0,"",'📥 DADOS BRUTOS'!B10)</x:f>
      </x:c>
      <x:c r="C10" s="30" t="str">
        <x:f>IF(COUNTA('📥 DADOS BRUTOS'!C10)=0,"",'📥 DADOS BRUTOS'!C10)</x:f>
      </x:c>
      <x:c r="D10" s="30" t="str">
        <x:f>IF(COUNTA('📥 DADOS BRUTOS'!D10)=0,"",'📥 DADOS BRUTOS'!D10)</x:f>
      </x:c>
      <x:c r="E10" s="59" t="str">
        <x:f>IF(COUNT('📥 DADOS BRUTOS'!CX10:DG10)&lt;10,"",SUM('📥 DADOS BRUTOS'!CX10:DG10))</x:f>
      </x:c>
      <x:c r="F10" s="33" t="str">
        <x:f t="shared" si="0">IF(E10="","","Acompanhar evolução")</x:f>
      </x:c>
    </x:row>
    <x:row r="11" ht="18" customHeight="1">
      <x:c r="B11" s="26" t="str">
        <x:f>IF(COUNTA('📥 DADOS BRUTOS'!B11)=0,"",'📥 DADOS BRUTOS'!B11)</x:f>
      </x:c>
      <x:c r="C11" s="26" t="str">
        <x:f>IF(COUNTA('📥 DADOS BRUTOS'!C11)=0,"",'📥 DADOS BRUTOS'!C11)</x:f>
      </x:c>
      <x:c r="D11" s="26" t="str">
        <x:f>IF(COUNTA('📥 DADOS BRUTOS'!D11)=0,"",'📥 DADOS BRUTOS'!D11)</x:f>
      </x:c>
      <x:c r="E11" s="58" t="str">
        <x:f>IF(COUNT('📥 DADOS BRUTOS'!CX11:DG11)&lt;10,"",SUM('📥 DADOS BRUTOS'!CX11:DG11))</x:f>
      </x:c>
      <x:c r="F11" s="29" t="str">
        <x:f t="shared" si="0">IF(E11="","","Acompanhar evolução")</x:f>
      </x:c>
    </x:row>
    <x:row r="12" ht="18" customHeight="1">
      <x:c r="B12" s="30" t="str">
        <x:f>IF(COUNTA('📥 DADOS BRUTOS'!B12)=0,"",'📥 DADOS BRUTOS'!B12)</x:f>
      </x:c>
      <x:c r="C12" s="30" t="str">
        <x:f>IF(COUNTA('📥 DADOS BRUTOS'!C12)=0,"",'📥 DADOS BRUTOS'!C12)</x:f>
      </x:c>
      <x:c r="D12" s="30" t="str">
        <x:f>IF(COUNTA('📥 DADOS BRUTOS'!D12)=0,"",'📥 DADOS BRUTOS'!D12)</x:f>
      </x:c>
      <x:c r="E12" s="59" t="str">
        <x:f>IF(COUNT('📥 DADOS BRUTOS'!CX12:DG12)&lt;10,"",SUM('📥 DADOS BRUTOS'!CX12:DG12))</x:f>
      </x:c>
      <x:c r="F12" s="33" t="str">
        <x:f t="shared" si="0">IF(E12="","","Acompanhar evolução")</x:f>
      </x:c>
    </x:row>
    <x:row r="13" ht="18" customHeight="1">
      <x:c r="B13" s="26" t="str">
        <x:f>IF(COUNTA('📥 DADOS BRUTOS'!B13)=0,"",'📥 DADOS BRUTOS'!B13)</x:f>
      </x:c>
      <x:c r="C13" s="26" t="str">
        <x:f>IF(COUNTA('📥 DADOS BRUTOS'!C13)=0,"",'📥 DADOS BRUTOS'!C13)</x:f>
      </x:c>
      <x:c r="D13" s="26" t="str">
        <x:f>IF(COUNTA('📥 DADOS BRUTOS'!D13)=0,"",'📥 DADOS BRUTOS'!D13)</x:f>
      </x:c>
      <x:c r="E13" s="58" t="str">
        <x:f>IF(COUNT('📥 DADOS BRUTOS'!CX13:DG13)&lt;10,"",SUM('📥 DADOS BRUTOS'!CX13:DG13))</x:f>
      </x:c>
      <x:c r="F13" s="29" t="str">
        <x:f t="shared" si="0">IF(E13="","","Acompanhar evolução")</x:f>
      </x:c>
    </x:row>
    <x:row r="14" ht="18" customHeight="1">
      <x:c r="B14" s="30" t="str">
        <x:f>IF(COUNTA('📥 DADOS BRUTOS'!B14)=0,"",'📥 DADOS BRUTOS'!B14)</x:f>
      </x:c>
      <x:c r="C14" s="30" t="str">
        <x:f>IF(COUNTA('📥 DADOS BRUTOS'!C14)=0,"",'📥 DADOS BRUTOS'!C14)</x:f>
      </x:c>
      <x:c r="D14" s="30" t="str">
        <x:f>IF(COUNTA('📥 DADOS BRUTOS'!D14)=0,"",'📥 DADOS BRUTOS'!D14)</x:f>
      </x:c>
      <x:c r="E14" s="59" t="str">
        <x:f>IF(COUNT('📥 DADOS BRUTOS'!CX14:DG14)&lt;10,"",SUM('📥 DADOS BRUTOS'!CX14:DG14))</x:f>
      </x:c>
      <x:c r="F14" s="33" t="str">
        <x:f t="shared" si="0">IF(E14="","","Acompanhar evolução")</x:f>
      </x:c>
    </x:row>
    <x:row r="15" ht="18" customHeight="1">
      <x:c r="B15" s="26" t="str">
        <x:f>IF(COUNTA('📥 DADOS BRUTOS'!B15)=0,"",'📥 DADOS BRUTOS'!B15)</x:f>
      </x:c>
      <x:c r="C15" s="26" t="str">
        <x:f>IF(COUNTA('📥 DADOS BRUTOS'!C15)=0,"",'📥 DADOS BRUTOS'!C15)</x:f>
      </x:c>
      <x:c r="D15" s="26" t="str">
        <x:f>IF(COUNTA('📥 DADOS BRUTOS'!D15)=0,"",'📥 DADOS BRUTOS'!D15)</x:f>
      </x:c>
      <x:c r="E15" s="58" t="str">
        <x:f>IF(COUNT('📥 DADOS BRUTOS'!CX15:DG15)&lt;10,"",SUM('📥 DADOS BRUTOS'!CX15:DG15))</x:f>
      </x:c>
      <x:c r="F15" s="29" t="str">
        <x:f t="shared" si="0">IF(E15="","","Acompanhar evolução")</x:f>
      </x:c>
    </x:row>
    <x:row r="16" ht="18" customHeight="1">
      <x:c r="B16" s="30" t="str">
        <x:f>IF(COUNTA('📥 DADOS BRUTOS'!B16)=0,"",'📥 DADOS BRUTOS'!B16)</x:f>
      </x:c>
      <x:c r="C16" s="30" t="str">
        <x:f>IF(COUNTA('📥 DADOS BRUTOS'!C16)=0,"",'📥 DADOS BRUTOS'!C16)</x:f>
      </x:c>
      <x:c r="D16" s="30" t="str">
        <x:f>IF(COUNTA('📥 DADOS BRUTOS'!D16)=0,"",'📥 DADOS BRUTOS'!D16)</x:f>
      </x:c>
      <x:c r="E16" s="59" t="str">
        <x:f>IF(COUNT('📥 DADOS BRUTOS'!CX16:DG16)&lt;10,"",SUM('📥 DADOS BRUTOS'!CX16:DG16))</x:f>
      </x:c>
      <x:c r="F16" s="33" t="str">
        <x:f t="shared" si="0">IF(E16="","","Acompanhar evolução")</x:f>
      </x:c>
    </x:row>
    <x:row r="17" ht="18" customHeight="1">
      <x:c r="B17" s="26" t="str">
        <x:f>IF(COUNTA('📥 DADOS BRUTOS'!B17)=0,"",'📥 DADOS BRUTOS'!B17)</x:f>
      </x:c>
      <x:c r="C17" s="26" t="str">
        <x:f>IF(COUNTA('📥 DADOS BRUTOS'!C17)=0,"",'📥 DADOS BRUTOS'!C17)</x:f>
      </x:c>
      <x:c r="D17" s="26" t="str">
        <x:f>IF(COUNTA('📥 DADOS BRUTOS'!D17)=0,"",'📥 DADOS BRUTOS'!D17)</x:f>
      </x:c>
      <x:c r="E17" s="58" t="str">
        <x:f>IF(COUNT('📥 DADOS BRUTOS'!CX17:DG17)&lt;10,"",SUM('📥 DADOS BRUTOS'!CX17:DG17))</x:f>
      </x:c>
      <x:c r="F17" s="29" t="str">
        <x:f t="shared" si="0">IF(E17="","","Acompanhar evolução")</x:f>
      </x:c>
    </x:row>
    <x:row r="18" ht="18" customHeight="1">
      <x:c r="B18" s="30" t="str">
        <x:f>IF(COUNTA('📥 DADOS BRUTOS'!B18)=0,"",'📥 DADOS BRUTOS'!B18)</x:f>
      </x:c>
      <x:c r="C18" s="30" t="str">
        <x:f>IF(COUNTA('📥 DADOS BRUTOS'!C18)=0,"",'📥 DADOS BRUTOS'!C18)</x:f>
      </x:c>
      <x:c r="D18" s="30" t="str">
        <x:f>IF(COUNTA('📥 DADOS BRUTOS'!D18)=0,"",'📥 DADOS BRUTOS'!D18)</x:f>
      </x:c>
      <x:c r="E18" s="59" t="str">
        <x:f>IF(COUNT('📥 DADOS BRUTOS'!CX18:DG18)&lt;10,"",SUM('📥 DADOS BRUTOS'!CX18:DG18))</x:f>
      </x:c>
      <x:c r="F18" s="33" t="str">
        <x:f t="shared" si="0">IF(E18="","","Acompanhar evolução")</x:f>
      </x:c>
    </x:row>
    <x:row r="19" ht="18" customHeight="1">
      <x:c r="B19" s="26" t="str">
        <x:f>IF(COUNTA('📥 DADOS BRUTOS'!B19)=0,"",'📥 DADOS BRUTOS'!B19)</x:f>
      </x:c>
      <x:c r="C19" s="26" t="str">
        <x:f>IF(COUNTA('📥 DADOS BRUTOS'!C19)=0,"",'📥 DADOS BRUTOS'!C19)</x:f>
      </x:c>
      <x:c r="D19" s="26" t="str">
        <x:f>IF(COUNTA('📥 DADOS BRUTOS'!D19)=0,"",'📥 DADOS BRUTOS'!D19)</x:f>
      </x:c>
      <x:c r="E19" s="58" t="str">
        <x:f>IF(COUNT('📥 DADOS BRUTOS'!CX19:DG19)&lt;10,"",SUM('📥 DADOS BRUTOS'!CX19:DG19))</x:f>
      </x:c>
      <x:c r="F19" s="29" t="str">
        <x:f t="shared" si="0">IF(E19="","","Acompanhar evolução")</x:f>
      </x:c>
    </x:row>
    <x:row r="20" ht="18" customHeight="1">
      <x:c r="B20" s="30" t="str">
        <x:f>IF(COUNTA('📥 DADOS BRUTOS'!B20)=0,"",'📥 DADOS BRUTOS'!B20)</x:f>
      </x:c>
      <x:c r="C20" s="30" t="str">
        <x:f>IF(COUNTA('📥 DADOS BRUTOS'!C20)=0,"",'📥 DADOS BRUTOS'!C20)</x:f>
      </x:c>
      <x:c r="D20" s="30" t="str">
        <x:f>IF(COUNTA('📥 DADOS BRUTOS'!D20)=0,"",'📥 DADOS BRUTOS'!D20)</x:f>
      </x:c>
      <x:c r="E20" s="59" t="str">
        <x:f>IF(COUNT('📥 DADOS BRUTOS'!CX20:DG20)&lt;10,"",SUM('📥 DADOS BRUTOS'!CX20:DG20))</x:f>
      </x:c>
      <x:c r="F20" s="33" t="str">
        <x:f t="shared" si="0">IF(E20="","","Acompanhar evolução")</x:f>
      </x:c>
    </x:row>
    <x:row r="21" ht="18" customHeight="1">
      <x:c r="B21" s="26" t="str">
        <x:f>IF(COUNTA('📥 DADOS BRUTOS'!B21)=0,"",'📥 DADOS BRUTOS'!B21)</x:f>
      </x:c>
      <x:c r="C21" s="26" t="str">
        <x:f>IF(COUNTA('📥 DADOS BRUTOS'!C21)=0,"",'📥 DADOS BRUTOS'!C21)</x:f>
      </x:c>
      <x:c r="D21" s="26" t="str">
        <x:f>IF(COUNTA('📥 DADOS BRUTOS'!D21)=0,"",'📥 DADOS BRUTOS'!D21)</x:f>
      </x:c>
      <x:c r="E21" s="58" t="str">
        <x:f>IF(COUNT('📥 DADOS BRUTOS'!CX21:DG21)&lt;10,"",SUM('📥 DADOS BRUTOS'!CX21:DG21))</x:f>
      </x:c>
      <x:c r="F21" s="29" t="str">
        <x:f t="shared" si="0">IF(E21="","","Acompanhar evolução")</x:f>
      </x:c>
    </x:row>
    <x:row r="22" ht="18" customHeight="1">
      <x:c r="B22" s="30" t="str">
        <x:f>IF(COUNTA('📥 DADOS BRUTOS'!B22)=0,"",'📥 DADOS BRUTOS'!B22)</x:f>
      </x:c>
      <x:c r="C22" s="30" t="str">
        <x:f>IF(COUNTA('📥 DADOS BRUTOS'!C22)=0,"",'📥 DADOS BRUTOS'!C22)</x:f>
      </x:c>
      <x:c r="D22" s="30" t="str">
        <x:f>IF(COUNTA('📥 DADOS BRUTOS'!D22)=0,"",'📥 DADOS BRUTOS'!D22)</x:f>
      </x:c>
      <x:c r="E22" s="59" t="str">
        <x:f>IF(COUNT('📥 DADOS BRUTOS'!CX22:DG22)&lt;10,"",SUM('📥 DADOS BRUTOS'!CX22:DG22))</x:f>
      </x:c>
      <x:c r="F22" s="33" t="str">
        <x:f t="shared" si="0">IF(E22="","","Acompanhar evolução")</x:f>
      </x:c>
    </x:row>
    <x:row r="23" ht="18" customHeight="1">
      <x:c r="B23" s="26" t="str">
        <x:f>IF(COUNTA('📥 DADOS BRUTOS'!B23)=0,"",'📥 DADOS BRUTOS'!B23)</x:f>
      </x:c>
      <x:c r="C23" s="26" t="str">
        <x:f>IF(COUNTA('📥 DADOS BRUTOS'!C23)=0,"",'📥 DADOS BRUTOS'!C23)</x:f>
      </x:c>
      <x:c r="D23" s="26" t="str">
        <x:f>IF(COUNTA('📥 DADOS BRUTOS'!D23)=0,"",'📥 DADOS BRUTOS'!D23)</x:f>
      </x:c>
      <x:c r="E23" s="58" t="str">
        <x:f>IF(COUNT('📥 DADOS BRUTOS'!CX23:DG23)&lt;10,"",SUM('📥 DADOS BRUTOS'!CX23:DG23))</x:f>
      </x:c>
      <x:c r="F23" s="29" t="str">
        <x:f t="shared" si="0">IF(E23="","","Acompanhar evolução")</x:f>
      </x:c>
    </x:row>
    <x:row r="24" ht="18" customHeight="1">
      <x:c r="B24" s="30" t="str">
        <x:f>IF(COUNTA('📥 DADOS BRUTOS'!B24)=0,"",'📥 DADOS BRUTOS'!B24)</x:f>
      </x:c>
      <x:c r="C24" s="30" t="str">
        <x:f>IF(COUNTA('📥 DADOS BRUTOS'!C24)=0,"",'📥 DADOS BRUTOS'!C24)</x:f>
      </x:c>
      <x:c r="D24" s="30" t="str">
        <x:f>IF(COUNTA('📥 DADOS BRUTOS'!D24)=0,"",'📥 DADOS BRUTOS'!D24)</x:f>
      </x:c>
      <x:c r="E24" s="59" t="str">
        <x:f>IF(COUNT('📥 DADOS BRUTOS'!CX24:DG24)&lt;10,"",SUM('📥 DADOS BRUTOS'!CX24:DG24))</x:f>
      </x:c>
      <x:c r="F24" s="33" t="str">
        <x:f t="shared" si="0">IF(E24="","","Acompanhar evolução")</x:f>
      </x:c>
    </x:row>
    <x:row r="25" ht="18" customHeight="1">
      <x:c r="B25" s="26" t="str">
        <x:f>IF(COUNTA('📥 DADOS BRUTOS'!B25)=0,"",'📥 DADOS BRUTOS'!B25)</x:f>
      </x:c>
      <x:c r="C25" s="26" t="str">
        <x:f>IF(COUNTA('📥 DADOS BRUTOS'!C25)=0,"",'📥 DADOS BRUTOS'!C25)</x:f>
      </x:c>
      <x:c r="D25" s="26" t="str">
        <x:f>IF(COUNTA('📥 DADOS BRUTOS'!D25)=0,"",'📥 DADOS BRUTOS'!D25)</x:f>
      </x:c>
      <x:c r="E25" s="58" t="str">
        <x:f>IF(COUNT('📥 DADOS BRUTOS'!CX25:DG25)&lt;10,"",SUM('📥 DADOS BRUTOS'!CX25:DG25))</x:f>
      </x:c>
      <x:c r="F25" s="29" t="str">
        <x:f t="shared" si="0">IF(E25="","","Acompanhar evolução")</x:f>
      </x:c>
    </x:row>
    <x:row r="26" ht="18" customHeight="1">
      <x:c r="B26" s="30" t="str">
        <x:f>IF(COUNTA('📥 DADOS BRUTOS'!B26)=0,"",'📥 DADOS BRUTOS'!B26)</x:f>
      </x:c>
      <x:c r="C26" s="30" t="str">
        <x:f>IF(COUNTA('📥 DADOS BRUTOS'!C26)=0,"",'📥 DADOS BRUTOS'!C26)</x:f>
      </x:c>
      <x:c r="D26" s="30" t="str">
        <x:f>IF(COUNTA('📥 DADOS BRUTOS'!D26)=0,"",'📥 DADOS BRUTOS'!D26)</x:f>
      </x:c>
      <x:c r="E26" s="59" t="str">
        <x:f>IF(COUNT('📥 DADOS BRUTOS'!CX26:DG26)&lt;10,"",SUM('📥 DADOS BRUTOS'!CX26:DG26))</x:f>
      </x:c>
      <x:c r="F26" s="33" t="str">
        <x:f t="shared" si="0">IF(E26="","","Acompanhar evolução")</x:f>
      </x:c>
    </x:row>
    <x:row r="27" ht="18" customHeight="1">
      <x:c r="B27" s="26" t="str">
        <x:f>IF(COUNTA('📥 DADOS BRUTOS'!B27)=0,"",'📥 DADOS BRUTOS'!B27)</x:f>
      </x:c>
      <x:c r="C27" s="26" t="str">
        <x:f>IF(COUNTA('📥 DADOS BRUTOS'!C27)=0,"",'📥 DADOS BRUTOS'!C27)</x:f>
      </x:c>
      <x:c r="D27" s="26" t="str">
        <x:f>IF(COUNTA('📥 DADOS BRUTOS'!D27)=0,"",'📥 DADOS BRUTOS'!D27)</x:f>
      </x:c>
      <x:c r="E27" s="58" t="str">
        <x:f>IF(COUNT('📥 DADOS BRUTOS'!CX27:DG27)&lt;10,"",SUM('📥 DADOS BRUTOS'!CX27:DG27))</x:f>
      </x:c>
      <x:c r="F27" s="29" t="str">
        <x:f t="shared" si="0">IF(E27="","","Acompanhar evolução")</x:f>
      </x:c>
    </x:row>
    <x:row r="28" ht="18" customHeight="1">
      <x:c r="B28" s="30" t="str">
        <x:f>IF(COUNTA('📥 DADOS BRUTOS'!B28)=0,"",'📥 DADOS BRUTOS'!B28)</x:f>
      </x:c>
      <x:c r="C28" s="30" t="str">
        <x:f>IF(COUNTA('📥 DADOS BRUTOS'!C28)=0,"",'📥 DADOS BRUTOS'!C28)</x:f>
      </x:c>
      <x:c r="D28" s="30" t="str">
        <x:f>IF(COUNTA('📥 DADOS BRUTOS'!D28)=0,"",'📥 DADOS BRUTOS'!D28)</x:f>
      </x:c>
      <x:c r="E28" s="59" t="str">
        <x:f>IF(COUNT('📥 DADOS BRUTOS'!CX28:DG28)&lt;10,"",SUM('📥 DADOS BRUTOS'!CX28:DG28))</x:f>
      </x:c>
      <x:c r="F28" s="33" t="str">
        <x:f t="shared" si="0">IF(E28="","","Acompanhar evolução")</x:f>
      </x:c>
    </x:row>
    <x:row r="29" ht="18" customHeight="1">
      <x:c r="B29" s="26" t="str">
        <x:f>IF(COUNTA('📥 DADOS BRUTOS'!B29)=0,"",'📥 DADOS BRUTOS'!B29)</x:f>
      </x:c>
      <x:c r="C29" s="26" t="str">
        <x:f>IF(COUNTA('📥 DADOS BRUTOS'!C29)=0,"",'📥 DADOS BRUTOS'!C29)</x:f>
      </x:c>
      <x:c r="D29" s="26" t="str">
        <x:f>IF(COUNTA('📥 DADOS BRUTOS'!D29)=0,"",'📥 DADOS BRUTOS'!D29)</x:f>
      </x:c>
      <x:c r="E29" s="58" t="str">
        <x:f>IF(COUNT('📥 DADOS BRUTOS'!CX29:DG29)&lt;10,"",SUM('📥 DADOS BRUTOS'!CX29:DG29))</x:f>
      </x:c>
      <x:c r="F29" s="29" t="str">
        <x:f t="shared" si="0">IF(E29="","","Acompanhar evolução")</x:f>
      </x:c>
    </x:row>
    <x:row r="30" ht="18" customHeight="1">
      <x:c r="B30" s="30" t="str">
        <x:f>IF(COUNTA('📥 DADOS BRUTOS'!B30)=0,"",'📥 DADOS BRUTOS'!B30)</x:f>
      </x:c>
      <x:c r="C30" s="30" t="str">
        <x:f>IF(COUNTA('📥 DADOS BRUTOS'!C30)=0,"",'📥 DADOS BRUTOS'!C30)</x:f>
      </x:c>
      <x:c r="D30" s="30" t="str">
        <x:f>IF(COUNTA('📥 DADOS BRUTOS'!D30)=0,"",'📥 DADOS BRUTOS'!D30)</x:f>
      </x:c>
      <x:c r="E30" s="59" t="str">
        <x:f>IF(COUNT('📥 DADOS BRUTOS'!CX30:DG30)&lt;10,"",SUM('📥 DADOS BRUTOS'!CX30:DG30))</x:f>
      </x:c>
      <x:c r="F30" s="33" t="str">
        <x:f t="shared" si="0">IF(E30="","","Acompanhar evolução")</x:f>
      </x:c>
    </x:row>
    <x:row r="31" ht="18" customHeight="1">
      <x:c r="B31" s="26" t="str">
        <x:f>IF(COUNTA('📥 DADOS BRUTOS'!B31)=0,"",'📥 DADOS BRUTOS'!B31)</x:f>
      </x:c>
      <x:c r="C31" s="26" t="str">
        <x:f>IF(COUNTA('📥 DADOS BRUTOS'!C31)=0,"",'📥 DADOS BRUTOS'!C31)</x:f>
      </x:c>
      <x:c r="D31" s="26" t="str">
        <x:f>IF(COUNTA('📥 DADOS BRUTOS'!D31)=0,"",'📥 DADOS BRUTOS'!D31)</x:f>
      </x:c>
      <x:c r="E31" s="58" t="str">
        <x:f>IF(COUNT('📥 DADOS BRUTOS'!CX31:DG31)&lt;10,"",SUM('📥 DADOS BRUTOS'!CX31:DG31))</x:f>
      </x:c>
      <x:c r="F31" s="29" t="str">
        <x:f t="shared" si="0">IF(E31="","","Acompanhar evolução")</x:f>
      </x:c>
    </x:row>
    <x:row r="32" ht="18" customHeight="1">
      <x:c r="B32" s="30" t="str">
        <x:f>IF(COUNTA('📥 DADOS BRUTOS'!B32)=0,"",'📥 DADOS BRUTOS'!B32)</x:f>
      </x:c>
      <x:c r="C32" s="30" t="str">
        <x:f>IF(COUNTA('📥 DADOS BRUTOS'!C32)=0,"",'📥 DADOS BRUTOS'!C32)</x:f>
      </x:c>
      <x:c r="D32" s="30" t="str">
        <x:f>IF(COUNTA('📥 DADOS BRUTOS'!D32)=0,"",'📥 DADOS BRUTOS'!D32)</x:f>
      </x:c>
      <x:c r="E32" s="59" t="str">
        <x:f>IF(COUNT('📥 DADOS BRUTOS'!CX32:DG32)&lt;10,"",SUM('📥 DADOS BRUTOS'!CX32:DG32))</x:f>
      </x:c>
      <x:c r="F32" s="33" t="str">
        <x:f t="shared" si="0">IF(E32="","","Acompanhar evolução")</x:f>
      </x:c>
    </x:row>
    <x:row r="34" ht="21.75" customHeight="1">
      <x:c r="B34" s="151" t="s">
        <x:v>67</x:v>
      </x:c>
      <x:c r="C34" s="145"/>
      <x:c r="D34" s="145"/>
      <x:c r="E34" s="145"/>
      <x:c r="F34" s="150"/>
    </x:row>
    <x:row r="35" ht="15" customHeight="1">
      <x:c r="B35" s="34" t="s">
        <x:v>68</x:v>
      </x:c>
      <x:c r="C35" s="18" t="s">
        <x:v>47</x:v>
      </x:c>
      <x:c r="D35" s="18" t="s">
        <x:v>48</x:v>
      </x:c>
      <x:c r="E35" s="18" t="s">
        <x:v>49</x:v>
      </x:c>
      <x:c r="F35" s="18" t="s">
        <x:v>50</x:v>
      </x:c>
    </x:row>
    <x:row r="36" ht="18" customHeight="1">
      <x:c r="B36" s="50" t="s">
        <x:v>69</x:v>
      </x:c>
      <x:c r="C36" s="36" t="str">
        <x:f>IFERROR(AVERAGEIF(C3:C32,"S1",E3:E32),"")</x:f>
      </x:c>
      <x:c r="D36" s="36" t="str">
        <x:f>IFERROR(AVERAGEIF(C3:C32,"S4",E3:E32),"")</x:f>
      </x:c>
      <x:c r="E36" s="36" t="str">
        <x:f>IFERROR(AVERAGEIF(C3:C32,"S8",E3:E32),"")</x:f>
      </x:c>
      <x:c r="F36" s="40" t="n">
        <x:f>IFERROR(E36-C36,"")</x:f>
        <x:v>0</x:v>
      </x:c>
    </x:row>
    <x:row r="39" ht="21.75" customHeight="1">
      <x:c r="B39" s="151" t="s">
        <x:v>70</x:v>
      </x:c>
      <x:c r="C39" s="145"/>
      <x:c r="D39" s="145"/>
      <x:c r="E39" s="145"/>
      <x:c r="F39" s="150"/>
    </x:row>
    <x:row r="40" ht="15" customHeight="1">
      <x:c r="B40" s="60" t="s">
        <x:v>71</x:v>
      </x:c>
      <x:c r="C40" s="154" t="s">
        <x:v>72</x:v>
      </x:c>
      <x:c r="D40" s="145"/>
      <x:c r="E40" s="145"/>
      <x:c r="F40" s="150"/>
    </x:row>
    <x:row r="41" ht="30" customHeight="1">
      <x:c r="B41" s="61" t="s">
        <x:v>73</x:v>
      </x:c>
      <x:c r="C41" s="158" t="s">
        <x:v>74</x:v>
      </x:c>
      <x:c r="D41" s="156"/>
      <x:c r="E41" s="156"/>
      <x:c r="F41" s="157"/>
    </x:row>
    <x:row r="42" ht="30" customHeight="1">
      <x:c r="B42" s="63" t="s">
        <x:v>75</x:v>
      </x:c>
      <x:c r="C42" s="155" t="s">
        <x:v>76</x:v>
      </x:c>
      <x:c r="D42" s="156"/>
      <x:c r="E42" s="156"/>
      <x:c r="F42" s="157"/>
    </x:row>
    <x:row r="43" ht="30" customHeight="1">
      <x:c r="B43" s="61" t="s">
        <x:v>77</x:v>
      </x:c>
      <x:c r="C43" s="158" t="s">
        <x:v>78</x:v>
      </x:c>
      <x:c r="D43" s="156"/>
      <x:c r="E43" s="156"/>
      <x:c r="F43" s="157"/>
    </x:row>
    <x:row r="44" ht="30" customHeight="1">
      <x:c r="B44" s="63" t="s">
        <x:v>79</x:v>
      </x:c>
      <x:c r="C44" s="155" t="s">
        <x:v>80</x:v>
      </x:c>
      <x:c r="D44" s="156"/>
      <x:c r="E44" s="156"/>
      <x:c r="F44" s="157"/>
    </x:row>
    <x:row r="45" ht="30" customHeight="1">
      <x:c r="B45" s="61" t="s">
        <x:v>81</x:v>
      </x:c>
      <x:c r="C45" s="158" t="s">
        <x:v>82</x:v>
      </x:c>
      <x:c r="D45" s="156"/>
      <x:c r="E45" s="156"/>
      <x:c r="F45" s="157"/>
    </x:row>
    <x:row r="46" ht="30" customHeight="1">
      <x:c r="B46" s="63" t="s">
        <x:v>83</x:v>
      </x:c>
      <x:c r="C46" s="155" t="s">
        <x:v>84</x:v>
      </x:c>
      <x:c r="D46" s="156"/>
      <x:c r="E46" s="156"/>
      <x:c r="F46" s="157"/>
    </x:row>
    <x:row r="47" ht="30" customHeight="1">
      <x:c r="B47" s="61" t="s">
        <x:v>85</x:v>
      </x:c>
      <x:c r="C47" s="158" t="s">
        <x:v>86</x:v>
      </x:c>
      <x:c r="D47" s="156"/>
      <x:c r="E47" s="156"/>
      <x:c r="F47" s="157"/>
    </x:row>
    <x:row r="48" ht="30" customHeight="1">
      <x:c r="B48" s="63" t="s">
        <x:v>87</x:v>
      </x:c>
      <x:c r="C48" s="155" t="s">
        <x:v>88</x:v>
      </x:c>
      <x:c r="D48" s="156"/>
      <x:c r="E48" s="156"/>
      <x:c r="F48" s="157"/>
    </x:row>
    <x:row r="49" ht="30" customHeight="1">
      <x:c r="B49" s="61" t="s">
        <x:v>89</x:v>
      </x:c>
      <x:c r="C49" s="158" t="s">
        <x:v>90</x:v>
      </x:c>
      <x:c r="D49" s="156"/>
      <x:c r="E49" s="156"/>
      <x:c r="F49" s="157"/>
    </x:row>
    <x:row r="50" ht="30" customHeight="1">
      <x:c r="B50" s="63" t="s">
        <x:v>91</x:v>
      </x:c>
      <x:c r="C50" s="155" t="s">
        <x:v>92</x:v>
      </x:c>
      <x:c r="D50" s="156"/>
      <x:c r="E50" s="156"/>
      <x:c r="F50" s="157"/>
    </x:row>
  </x:sheetData>
  <x:mergeCells>
    <x:mergeCell ref="C50:F50"/>
    <x:mergeCell ref="C44:F44"/>
    <x:mergeCell ref="C49:F49"/>
    <x:mergeCell ref="B1:D1"/>
    <x:mergeCell ref="E1:F1"/>
    <x:mergeCell ref="C43:F43"/>
    <x:mergeCell ref="C41:F41"/>
    <x:mergeCell ref="C46:F46"/>
    <x:mergeCell ref="C47:F47"/>
    <x:mergeCell ref="C42:F42"/>
    <x:mergeCell ref="C40:F40"/>
    <x:mergeCell ref="C48:F48"/>
    <x:mergeCell ref="B39:F39"/>
    <x:mergeCell ref="C45:F45"/>
    <x:mergeCell ref="B34:F34"/>
  </x:mergeCells>
  <x:conditionalFormatting sqref="E3:E32">
    <x:cfRule type="colorScale" priority="2">
      <x:colorScale>
        <x:cfvo type="num" val="10"/>
        <x:cfvo type="num" val="25"/>
        <x:cfvo type="num" val="40"/>
        <x:color rgb="FFE74C3C"/>
        <x:color rgb="FFF39C12"/>
        <x:color rgb="FF27AE60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5"/>
  <x:cols>
    <x:col min="1" max="1" width="5" customWidth="1"/>
    <x:col min="2" max="2" width="16" customWidth="1"/>
    <x:col min="3" max="3" width="14" customWidth="1"/>
    <x:col min="4" max="4" width="12" customWidth="1"/>
    <x:col min="5" max="41" width="6" customWidth="1"/>
    <x:col min="42" max="42" width="3" customWidth="1"/>
    <x:col min="43" max="111" width="5" customWidth="1"/>
  </x:cols>
  <x:sheetData>
    <x:row r="1" ht="24" customHeight="1">
      <x:c r="B1" s="149" t="s">
        <x:v>32</x:v>
      </x:c>
      <x:c r="C1" s="145"/>
      <x:c r="D1" s="150"/>
      <x:c r="E1" s="161" t="s">
        <x:v>93</x:v>
      </x:c>
      <x:c r="F1" s="145"/>
      <x:c r="G1" s="145"/>
      <x:c r="H1" s="145"/>
      <x:c r="I1" s="145"/>
      <x:c r="J1" s="145"/>
      <x:c r="K1" s="145"/>
      <x:c r="L1" s="145"/>
      <x:c r="M1" s="145"/>
      <x:c r="N1" s="145"/>
      <x:c r="O1" s="145"/>
      <x:c r="P1" s="145"/>
      <x:c r="Q1" s="145"/>
      <x:c r="R1" s="145"/>
      <x:c r="S1" s="145"/>
      <x:c r="T1" s="145"/>
      <x:c r="U1" s="145"/>
      <x:c r="V1" s="145"/>
      <x:c r="W1" s="145"/>
      <x:c r="X1" s="145"/>
      <x:c r="Y1" s="145"/>
      <x:c r="Z1" s="145"/>
      <x:c r="AA1" s="145"/>
      <x:c r="AB1" s="145"/>
      <x:c r="AC1" s="145"/>
      <x:c r="AD1" s="145"/>
      <x:c r="AE1" s="145"/>
      <x:c r="AF1" s="145"/>
      <x:c r="AG1" s="145"/>
      <x:c r="AH1" s="145"/>
      <x:c r="AI1" s="145"/>
      <x:c r="AJ1" s="145"/>
      <x:c r="AK1" s="145"/>
      <x:c r="AL1" s="145"/>
      <x:c r="AM1" s="145"/>
      <x:c r="AN1" s="145"/>
      <x:c r="AO1" s="150"/>
      <x:c r="AQ1" s="160" t="s">
        <x:v>94</x:v>
      </x:c>
      <x:c r="AR1" s="145"/>
      <x:c r="AS1" s="145"/>
      <x:c r="AT1" s="145"/>
      <x:c r="AU1" s="145"/>
      <x:c r="AV1" s="145"/>
      <x:c r="AW1" s="145"/>
      <x:c r="AX1" s="145"/>
      <x:c r="AY1" s="145"/>
      <x:c r="AZ1" s="145"/>
      <x:c r="BA1" s="145"/>
      <x:c r="BB1" s="145"/>
      <x:c r="BC1" s="145"/>
      <x:c r="BD1" s="145"/>
      <x:c r="BE1" s="145"/>
      <x:c r="BF1" s="145"/>
      <x:c r="BG1" s="145"/>
      <x:c r="BH1" s="145"/>
      <x:c r="BI1" s="145"/>
      <x:c r="BJ1" s="145"/>
      <x:c r="BK1" s="145"/>
      <x:c r="BL1" s="145"/>
      <x:c r="BM1" s="145"/>
      <x:c r="BN1" s="145"/>
      <x:c r="BO1" s="145"/>
      <x:c r="BP1" s="145"/>
      <x:c r="BQ1" s="145"/>
      <x:c r="BR1" s="145"/>
      <x:c r="BS1" s="145"/>
      <x:c r="BT1" s="145"/>
      <x:c r="BU1" s="145"/>
      <x:c r="BV1" s="145"/>
      <x:c r="BW1" s="145"/>
      <x:c r="BX1" s="145"/>
      <x:c r="BY1" s="145"/>
      <x:c r="BZ1" s="145"/>
      <x:c r="CA1" s="145"/>
      <x:c r="CB1" s="145"/>
      <x:c r="CC1" s="150"/>
      <x:c r="CD1" s="152" t="s">
        <x:v>95</x:v>
      </x:c>
      <x:c r="CE1" s="145"/>
      <x:c r="CF1" s="145"/>
      <x:c r="CG1" s="145"/>
      <x:c r="CH1" s="145"/>
      <x:c r="CI1" s="145"/>
      <x:c r="CJ1" s="145"/>
      <x:c r="CK1" s="145"/>
      <x:c r="CL1" s="145"/>
      <x:c r="CM1" s="145"/>
      <x:c r="CN1" s="145"/>
      <x:c r="CO1" s="145"/>
      <x:c r="CP1" s="145"/>
      <x:c r="CQ1" s="145"/>
      <x:c r="CR1" s="145"/>
      <x:c r="CS1" s="145"/>
      <x:c r="CT1" s="145"/>
      <x:c r="CU1" s="145"/>
      <x:c r="CV1" s="145"/>
      <x:c r="CW1" s="150"/>
      <x:c r="CX1" s="159" t="s">
        <x:v>96</x:v>
      </x:c>
      <x:c r="CY1" s="145"/>
      <x:c r="CZ1" s="145"/>
      <x:c r="DA1" s="145"/>
      <x:c r="DB1" s="145"/>
      <x:c r="DC1" s="145"/>
      <x:c r="DD1" s="145"/>
      <x:c r="DE1" s="145"/>
      <x:c r="DF1" s="145"/>
      <x:c r="DG1" s="150"/>
    </x:row>
    <x:row r="2" ht="34.5" customHeight="1">
      <x:c r="B2" s="64" t="s">
        <x:v>35</x:v>
      </x:c>
      <x:c r="C2" s="64" t="s">
        <x:v>97</x:v>
      </x:c>
      <x:c r="D2" s="64" t="s">
        <x:v>37</x:v>
      </x:c>
      <x:c r="E2" s="65" t="s">
        <x:v>98</x:v>
      </x:c>
      <x:c r="F2" s="65" t="s">
        <x:v>99</x:v>
      </x:c>
      <x:c r="G2" s="65" t="s">
        <x:v>100</x:v>
      </x:c>
      <x:c r="H2" s="65" t="s">
        <x:v>101</x:v>
      </x:c>
      <x:c r="I2" s="66" t="s">
        <x:v>102</x:v>
      </x:c>
      <x:c r="J2" s="66" t="s">
        <x:v>103</x:v>
      </x:c>
      <x:c r="K2" s="66" t="s">
        <x:v>104</x:v>
      </x:c>
      <x:c r="L2" s="66" t="s">
        <x:v>105</x:v>
      </x:c>
      <x:c r="M2" s="66" t="s">
        <x:v>106</x:v>
      </x:c>
      <x:c r="N2" s="66" t="s">
        <x:v>107</x:v>
      </x:c>
      <x:c r="O2" s="66" t="s">
        <x:v>108</x:v>
      </x:c>
      <x:c r="P2" s="66" t="s">
        <x:v>109</x:v>
      </x:c>
      <x:c r="Q2" s="65" t="s">
        <x:v>110</x:v>
      </x:c>
      <x:c r="R2" s="65" t="s">
        <x:v>111</x:v>
      </x:c>
      <x:c r="S2" s="66" t="s">
        <x:v>112</x:v>
      </x:c>
      <x:c r="T2" s="65" t="s">
        <x:v>113</x:v>
      </x:c>
      <x:c r="U2" s="65" t="s">
        <x:v>114</x:v>
      </x:c>
      <x:c r="V2" s="65" t="s">
        <x:v>115</x:v>
      </x:c>
      <x:c r="W2" s="65" t="s">
        <x:v>116</x:v>
      </x:c>
      <x:c r="X2" s="65" t="s">
        <x:v>117</x:v>
      </x:c>
      <x:c r="Y2" s="65" t="s">
        <x:v>118</x:v>
      </x:c>
      <x:c r="Z2" s="65" t="s">
        <x:v>119</x:v>
      </x:c>
      <x:c r="AA2" s="65" t="s">
        <x:v>120</x:v>
      </x:c>
      <x:c r="AB2" s="65" t="s">
        <x:v>121</x:v>
      </x:c>
      <x:c r="AC2" s="65" t="s">
        <x:v>122</x:v>
      </x:c>
      <x:c r="AD2" s="65" t="s">
        <x:v>123</x:v>
      </x:c>
      <x:c r="AE2" s="65" t="s">
        <x:v>124</x:v>
      </x:c>
      <x:c r="AF2" s="65" t="s">
        <x:v>125</x:v>
      </x:c>
      <x:c r="AG2" s="65" t="s">
        <x:v>126</x:v>
      </x:c>
      <x:c r="AH2" s="65" t="s">
        <x:v>127</x:v>
      </x:c>
      <x:c r="AI2" s="65" t="s">
        <x:v>128</x:v>
      </x:c>
      <x:c r="AJ2" s="65" t="s">
        <x:v>129</x:v>
      </x:c>
      <x:c r="AK2" s="65" t="s">
        <x:v>130</x:v>
      </x:c>
      <x:c r="AL2" s="65" t="s">
        <x:v>131</x:v>
      </x:c>
      <x:c r="AM2" s="65" t="s">
        <x:v>132</x:v>
      </x:c>
      <x:c r="AN2" s="65" t="s">
        <x:v>133</x:v>
      </x:c>
      <x:c r="AO2" s="65" t="s">
        <x:v>134</x:v>
      </x:c>
      <x:c r="AQ2" s="67" t="s">
        <x:v>135</x:v>
      </x:c>
      <x:c r="AR2" s="67" t="s">
        <x:v>136</x:v>
      </x:c>
      <x:c r="AS2" s="68" t="s">
        <x:v>137</x:v>
      </x:c>
      <x:c r="AT2" s="68" t="s">
        <x:v>138</x:v>
      </x:c>
      <x:c r="AU2" s="67" t="s">
        <x:v>139</x:v>
      </x:c>
      <x:c r="AV2" s="67" t="s">
        <x:v>140</x:v>
      </x:c>
      <x:c r="AW2" s="67" t="s">
        <x:v>141</x:v>
      </x:c>
      <x:c r="AX2" s="68" t="s">
        <x:v>142</x:v>
      </x:c>
      <x:c r="AY2" s="68" t="s">
        <x:v>143</x:v>
      </x:c>
      <x:c r="AZ2" s="68" t="s">
        <x:v>144</x:v>
      </x:c>
      <x:c r="BA2" s="67" t="s">
        <x:v>145</x:v>
      </x:c>
      <x:c r="BB2" s="68" t="s">
        <x:v>146</x:v>
      </x:c>
      <x:c r="BC2" s="68" t="s">
        <x:v>147</x:v>
      </x:c>
      <x:c r="BD2" s="67" t="s">
        <x:v>148</x:v>
      </x:c>
      <x:c r="BE2" s="68" t="s">
        <x:v>149</x:v>
      </x:c>
      <x:c r="BF2" s="68" t="s">
        <x:v>150</x:v>
      </x:c>
      <x:c r="BG2" s="68" t="s">
        <x:v>151</x:v>
      </x:c>
      <x:c r="BH2" s="68" t="s">
        <x:v>152</x:v>
      </x:c>
      <x:c r="BI2" s="67" t="s">
        <x:v>153</x:v>
      </x:c>
      <x:c r="BJ2" s="67" t="s">
        <x:v>154</x:v>
      </x:c>
      <x:c r="BK2" s="68" t="s">
        <x:v>155</x:v>
      </x:c>
      <x:c r="BL2" s="68" t="s">
        <x:v>156</x:v>
      </x:c>
      <x:c r="BM2" s="67" t="s">
        <x:v>157</x:v>
      </x:c>
      <x:c r="BN2" s="67" t="s">
        <x:v>158</x:v>
      </x:c>
      <x:c r="BO2" s="68" t="s">
        <x:v>159</x:v>
      </x:c>
      <x:c r="BP2" s="68" t="s">
        <x:v>160</x:v>
      </x:c>
      <x:c r="BQ2" s="67" t="s">
        <x:v>161</x:v>
      </x:c>
      <x:c r="BR2" s="67" t="s">
        <x:v>162</x:v>
      </x:c>
      <x:c r="BS2" s="67" t="s">
        <x:v>163</x:v>
      </x:c>
      <x:c r="BT2" s="67" t="s">
        <x:v>164</x:v>
      </x:c>
      <x:c r="BU2" s="67" t="s">
        <x:v>165</x:v>
      </x:c>
      <x:c r="BV2" s="68" t="s">
        <x:v>166</x:v>
      </x:c>
      <x:c r="BW2" s="68" t="s">
        <x:v>167</x:v>
      </x:c>
      <x:c r="BX2" s="67" t="s">
        <x:v>168</x:v>
      </x:c>
      <x:c r="BY2" s="68" t="s">
        <x:v>169</x:v>
      </x:c>
      <x:c r="BZ2" s="67" t="s">
        <x:v>170</x:v>
      </x:c>
      <x:c r="CA2" s="68" t="s">
        <x:v>171</x:v>
      </x:c>
      <x:c r="CB2" s="68" t="s">
        <x:v>172</x:v>
      </x:c>
      <x:c r="CC2" s="67" t="s">
        <x:v>173</x:v>
      </x:c>
      <x:c r="CD2" s="69" t="s">
        <x:v>174</x:v>
      </x:c>
      <x:c r="CE2" s="69" t="s">
        <x:v>175</x:v>
      </x:c>
      <x:c r="CF2" s="69" t="s">
        <x:v>176</x:v>
      </x:c>
      <x:c r="CG2" s="69" t="s">
        <x:v>177</x:v>
      </x:c>
      <x:c r="CH2" s="70" t="s">
        <x:v>178</x:v>
      </x:c>
      <x:c r="CI2" s="70" t="s">
        <x:v>179</x:v>
      </x:c>
      <x:c r="CJ2" s="70" t="s">
        <x:v>180</x:v>
      </x:c>
      <x:c r="CK2" s="70" t="s">
        <x:v>181</x:v>
      </x:c>
      <x:c r="CL2" s="71" t="s">
        <x:v>182</x:v>
      </x:c>
      <x:c r="CM2" s="71" t="s">
        <x:v>183</x:v>
      </x:c>
      <x:c r="CN2" s="71" t="s">
        <x:v>184</x:v>
      </x:c>
      <x:c r="CO2" s="71" t="s">
        <x:v>185</x:v>
      </x:c>
      <x:c r="CP2" s="72" t="s">
        <x:v>186</x:v>
      </x:c>
      <x:c r="CQ2" s="72" t="s">
        <x:v>187</x:v>
      </x:c>
      <x:c r="CR2" s="72" t="s">
        <x:v>188</x:v>
      </x:c>
      <x:c r="CS2" s="72" t="s">
        <x:v>189</x:v>
      </x:c>
      <x:c r="CT2" s="73" t="s">
        <x:v>190</x:v>
      </x:c>
      <x:c r="CU2" s="73" t="s">
        <x:v>191</x:v>
      </x:c>
      <x:c r="CV2" s="73" t="s">
        <x:v>192</x:v>
      </x:c>
      <x:c r="CW2" s="73" t="s">
        <x:v>193</x:v>
      </x:c>
      <x:c r="CX2" s="74" t="s">
        <x:v>73</x:v>
      </x:c>
      <x:c r="CY2" s="74" t="s">
        <x:v>75</x:v>
      </x:c>
      <x:c r="CZ2" s="74" t="s">
        <x:v>77</x:v>
      </x:c>
      <x:c r="DA2" s="74" t="s">
        <x:v>79</x:v>
      </x:c>
      <x:c r="DB2" s="74" t="s">
        <x:v>81</x:v>
      </x:c>
      <x:c r="DC2" s="74" t="s">
        <x:v>83</x:v>
      </x:c>
      <x:c r="DD2" s="74" t="s">
        <x:v>85</x:v>
      </x:c>
      <x:c r="DE2" s="74" t="s">
        <x:v>87</x:v>
      </x:c>
      <x:c r="DF2" s="74" t="s">
        <x:v>89</x:v>
      </x:c>
      <x:c r="DG2" s="74" t="s">
        <x:v>91</x:v>
      </x:c>
    </x:row>
    <x:row r="3" ht="18" customHeight="1"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  <x:c r="AL3" s="26"/>
      <x:c r="AM3" s="26"/>
      <x:c r="AN3" s="26"/>
      <x:c r="AO3" s="26"/>
      <x:c r="AQ3" s="26"/>
      <x:c r="AR3" s="26"/>
      <x:c r="AS3" s="26"/>
      <x:c r="AT3" s="26"/>
      <x:c r="AU3" s="26"/>
      <x:c r="AV3" s="26"/>
      <x:c r="AW3" s="26"/>
      <x:c r="AX3" s="26"/>
      <x:c r="AY3" s="26"/>
      <x:c r="AZ3" s="26"/>
      <x:c r="BA3" s="26"/>
      <x:c r="BB3" s="26"/>
      <x:c r="BC3" s="26"/>
      <x:c r="BD3" s="26"/>
      <x:c r="BE3" s="26"/>
      <x:c r="BF3" s="26"/>
      <x:c r="BG3" s="26"/>
      <x:c r="BH3" s="26"/>
      <x:c r="BI3" s="26"/>
      <x:c r="BJ3" s="26"/>
      <x:c r="BK3" s="26"/>
      <x:c r="BL3" s="26"/>
      <x:c r="BM3" s="26"/>
      <x:c r="BN3" s="26"/>
      <x:c r="BO3" s="26"/>
      <x:c r="BP3" s="26"/>
      <x:c r="BQ3" s="26"/>
      <x:c r="BR3" s="26"/>
      <x:c r="BS3" s="26"/>
      <x:c r="BT3" s="26"/>
      <x:c r="BU3" s="26"/>
      <x:c r="BV3" s="26"/>
      <x:c r="BW3" s="26"/>
      <x:c r="BX3" s="26"/>
      <x:c r="BY3" s="26"/>
      <x:c r="BZ3" s="26"/>
      <x:c r="CA3" s="26"/>
      <x:c r="CB3" s="26"/>
      <x:c r="CC3" s="26"/>
      <x:c r="CD3" s="26"/>
      <x:c r="CE3" s="26"/>
      <x:c r="CF3" s="26"/>
      <x:c r="CG3" s="26"/>
      <x:c r="CH3" s="26"/>
      <x:c r="CI3" s="26"/>
      <x:c r="CJ3" s="26"/>
      <x:c r="CK3" s="26"/>
      <x:c r="CL3" s="26"/>
      <x:c r="CM3" s="26"/>
      <x:c r="CN3" s="26"/>
      <x:c r="CO3" s="26"/>
      <x:c r="CP3" s="26"/>
      <x:c r="CQ3" s="26"/>
      <x:c r="CR3" s="26"/>
      <x:c r="CS3" s="26"/>
      <x:c r="CT3" s="26"/>
      <x:c r="CU3" s="26"/>
      <x:c r="CV3" s="26"/>
      <x:c r="CW3" s="26"/>
      <x:c r="CX3" s="26"/>
      <x:c r="CY3" s="26"/>
      <x:c r="CZ3" s="26"/>
      <x:c r="DA3" s="26"/>
      <x:c r="DB3" s="26"/>
      <x:c r="DC3" s="26"/>
      <x:c r="DD3" s="26"/>
      <x:c r="DE3" s="26"/>
      <x:c r="DF3" s="26"/>
      <x:c r="DG3" s="26"/>
    </x:row>
    <x:row r="4" ht="18" customHeight="1"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30"/>
      <x:c r="AI4" s="30"/>
      <x:c r="AJ4" s="30"/>
      <x:c r="AK4" s="30"/>
      <x:c r="AL4" s="30"/>
      <x:c r="AM4" s="30"/>
      <x:c r="AN4" s="30"/>
      <x:c r="AO4" s="30"/>
      <x:c r="AQ4" s="30"/>
      <x:c r="AR4" s="30"/>
      <x:c r="AS4" s="30"/>
      <x:c r="AT4" s="30"/>
      <x:c r="AU4" s="30"/>
      <x:c r="AV4" s="30"/>
      <x:c r="AW4" s="30"/>
      <x:c r="AX4" s="30"/>
      <x:c r="AY4" s="30"/>
      <x:c r="AZ4" s="30"/>
      <x:c r="BA4" s="30"/>
      <x:c r="BB4" s="30"/>
      <x:c r="BC4" s="30"/>
      <x:c r="BD4" s="30"/>
      <x:c r="BE4" s="30"/>
      <x:c r="BF4" s="30"/>
      <x:c r="BG4" s="30"/>
      <x:c r="BH4" s="30"/>
      <x:c r="BI4" s="30"/>
      <x:c r="BJ4" s="30"/>
      <x:c r="BK4" s="30"/>
      <x:c r="BL4" s="30"/>
      <x:c r="BM4" s="30"/>
      <x:c r="BN4" s="30"/>
      <x:c r="BO4" s="30"/>
      <x:c r="BP4" s="30"/>
      <x:c r="BQ4" s="30"/>
      <x:c r="BR4" s="30"/>
      <x:c r="BS4" s="30"/>
      <x:c r="BT4" s="30"/>
      <x:c r="BU4" s="30"/>
      <x:c r="BV4" s="30"/>
      <x:c r="BW4" s="30"/>
      <x:c r="BX4" s="30"/>
      <x:c r="BY4" s="30"/>
      <x:c r="BZ4" s="30"/>
      <x:c r="CA4" s="30"/>
      <x:c r="CB4" s="30"/>
      <x:c r="CC4" s="30"/>
      <x:c r="CD4" s="30"/>
      <x:c r="CE4" s="30"/>
      <x:c r="CF4" s="30"/>
      <x:c r="CG4" s="30"/>
      <x:c r="CH4" s="30"/>
      <x:c r="CI4" s="30"/>
      <x:c r="CJ4" s="30"/>
      <x:c r="CK4" s="30"/>
      <x:c r="CL4" s="30"/>
      <x:c r="CM4" s="30"/>
      <x:c r="CN4" s="30"/>
      <x:c r="CO4" s="30"/>
      <x:c r="CP4" s="30"/>
      <x:c r="CQ4" s="30"/>
      <x:c r="CR4" s="30"/>
      <x:c r="CS4" s="30"/>
      <x:c r="CT4" s="30"/>
      <x:c r="CU4" s="30"/>
      <x:c r="CV4" s="30"/>
      <x:c r="CW4" s="30"/>
      <x:c r="CX4" s="30"/>
      <x:c r="CY4" s="30"/>
      <x:c r="CZ4" s="30"/>
      <x:c r="DA4" s="30"/>
      <x:c r="DB4" s="30"/>
      <x:c r="DC4" s="30"/>
      <x:c r="DD4" s="30"/>
      <x:c r="DE4" s="30"/>
      <x:c r="DF4" s="30"/>
      <x:c r="DG4" s="30"/>
    </x:row>
    <x:row r="5" ht="18" customHeight="1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  <x:c r="AA5" s="26"/>
      <x:c r="AB5" s="26"/>
      <x:c r="AC5" s="26"/>
      <x:c r="AD5" s="26"/>
      <x:c r="AE5" s="26"/>
      <x:c r="AF5" s="26"/>
      <x:c r="AG5" s="26"/>
      <x:c r="AH5" s="26"/>
      <x:c r="AI5" s="26"/>
      <x:c r="AJ5" s="26"/>
      <x:c r="AK5" s="26"/>
      <x:c r="AL5" s="26"/>
      <x:c r="AM5" s="26"/>
      <x:c r="AN5" s="26"/>
      <x:c r="AO5" s="26"/>
      <x:c r="AQ5" s="26"/>
      <x:c r="AR5" s="26"/>
      <x:c r="AS5" s="26"/>
      <x:c r="AT5" s="26"/>
      <x:c r="AU5" s="26"/>
      <x:c r="AV5" s="26"/>
      <x:c r="AW5" s="26"/>
      <x:c r="AX5" s="26"/>
      <x:c r="AY5" s="26"/>
      <x:c r="AZ5" s="26"/>
      <x:c r="BA5" s="26"/>
      <x:c r="BB5" s="26"/>
      <x:c r="BC5" s="26"/>
      <x:c r="BD5" s="26"/>
      <x:c r="BE5" s="26"/>
      <x:c r="BF5" s="26"/>
      <x:c r="BG5" s="26"/>
      <x:c r="BH5" s="26"/>
      <x:c r="BI5" s="26"/>
      <x:c r="BJ5" s="26"/>
      <x:c r="BK5" s="26"/>
      <x:c r="BL5" s="26"/>
      <x:c r="BM5" s="26"/>
      <x:c r="BN5" s="26"/>
      <x:c r="BO5" s="26"/>
      <x:c r="BP5" s="26"/>
      <x:c r="BQ5" s="26"/>
      <x:c r="BR5" s="26"/>
      <x:c r="BS5" s="26"/>
      <x:c r="BT5" s="26"/>
      <x:c r="BU5" s="26"/>
      <x:c r="BV5" s="26"/>
      <x:c r="BW5" s="26"/>
      <x:c r="BX5" s="26"/>
      <x:c r="BY5" s="26"/>
      <x:c r="BZ5" s="26"/>
      <x:c r="CA5" s="26"/>
      <x:c r="CB5" s="26"/>
      <x:c r="CC5" s="26"/>
      <x:c r="CD5" s="26"/>
      <x:c r="CE5" s="26"/>
      <x:c r="CF5" s="26"/>
      <x:c r="CG5" s="26"/>
      <x:c r="CH5" s="26"/>
      <x:c r="CI5" s="26"/>
      <x:c r="CJ5" s="26"/>
      <x:c r="CK5" s="26"/>
      <x:c r="CL5" s="26"/>
      <x:c r="CM5" s="26"/>
      <x:c r="CN5" s="26"/>
      <x:c r="CO5" s="26"/>
      <x:c r="CP5" s="26"/>
      <x:c r="CQ5" s="26"/>
      <x:c r="CR5" s="26"/>
      <x:c r="CS5" s="26"/>
      <x:c r="CT5" s="26"/>
      <x:c r="CU5" s="26"/>
      <x:c r="CV5" s="26"/>
      <x:c r="CW5" s="26"/>
      <x:c r="CX5" s="26"/>
      <x:c r="CY5" s="26"/>
      <x:c r="CZ5" s="26"/>
      <x:c r="DA5" s="26"/>
      <x:c r="DB5" s="26"/>
      <x:c r="DC5" s="26"/>
      <x:c r="DD5" s="26"/>
      <x:c r="DE5" s="26"/>
      <x:c r="DF5" s="26"/>
      <x:c r="DG5" s="26"/>
    </x:row>
    <x:row r="6" ht="18" customHeight="1"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30"/>
      <x:c r="AI6" s="30"/>
      <x:c r="AJ6" s="30"/>
      <x:c r="AK6" s="30"/>
      <x:c r="AL6" s="30"/>
      <x:c r="AM6" s="30"/>
      <x:c r="AN6" s="30"/>
      <x:c r="AO6" s="30"/>
      <x:c r="AQ6" s="30"/>
      <x:c r="AR6" s="30"/>
      <x:c r="AS6" s="30"/>
      <x:c r="AT6" s="30"/>
      <x:c r="AU6" s="30"/>
      <x:c r="AV6" s="30"/>
      <x:c r="AW6" s="30"/>
      <x:c r="AX6" s="30"/>
      <x:c r="AY6" s="30"/>
      <x:c r="AZ6" s="30"/>
      <x:c r="BA6" s="30"/>
      <x:c r="BB6" s="30"/>
      <x:c r="BC6" s="30"/>
      <x:c r="BD6" s="30"/>
      <x:c r="BE6" s="30"/>
      <x:c r="BF6" s="30"/>
      <x:c r="BG6" s="30"/>
      <x:c r="BH6" s="30"/>
      <x:c r="BI6" s="30"/>
      <x:c r="BJ6" s="30"/>
      <x:c r="BK6" s="30"/>
      <x:c r="BL6" s="30"/>
      <x:c r="BM6" s="30"/>
      <x:c r="BN6" s="30"/>
      <x:c r="BO6" s="30"/>
      <x:c r="BP6" s="30"/>
      <x:c r="BQ6" s="30"/>
      <x:c r="BR6" s="30"/>
      <x:c r="BS6" s="30"/>
      <x:c r="BT6" s="30"/>
      <x:c r="BU6" s="30"/>
      <x:c r="BV6" s="30"/>
      <x:c r="BW6" s="30"/>
      <x:c r="BX6" s="30"/>
      <x:c r="BY6" s="30"/>
      <x:c r="BZ6" s="30"/>
      <x:c r="CA6" s="30"/>
      <x:c r="CB6" s="30"/>
      <x:c r="CC6" s="30"/>
      <x:c r="CD6" s="30"/>
      <x:c r="CE6" s="30"/>
      <x:c r="CF6" s="30"/>
      <x:c r="CG6" s="30"/>
      <x:c r="CH6" s="30"/>
      <x:c r="CI6" s="30"/>
      <x:c r="CJ6" s="30"/>
      <x:c r="CK6" s="30"/>
      <x:c r="CL6" s="30"/>
      <x:c r="CM6" s="30"/>
      <x:c r="CN6" s="30"/>
      <x:c r="CO6" s="30"/>
      <x:c r="CP6" s="30"/>
      <x:c r="CQ6" s="30"/>
      <x:c r="CR6" s="30"/>
      <x:c r="CS6" s="30"/>
      <x:c r="CT6" s="30"/>
      <x:c r="CU6" s="30"/>
      <x:c r="CV6" s="30"/>
      <x:c r="CW6" s="30"/>
      <x:c r="CX6" s="30"/>
      <x:c r="CY6" s="30"/>
      <x:c r="CZ6" s="30"/>
      <x:c r="DA6" s="30"/>
      <x:c r="DB6" s="30"/>
      <x:c r="DC6" s="30"/>
      <x:c r="DD6" s="30"/>
      <x:c r="DE6" s="30"/>
      <x:c r="DF6" s="30"/>
      <x:c r="DG6" s="30"/>
    </x:row>
    <x:row r="7" ht="18" customHeight="1"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  <x:c r="AA7" s="26"/>
      <x:c r="AB7" s="26"/>
      <x:c r="AC7" s="26"/>
      <x:c r="AD7" s="26"/>
      <x:c r="AE7" s="26"/>
      <x:c r="AF7" s="26"/>
      <x:c r="AG7" s="26"/>
      <x:c r="AH7" s="26"/>
      <x:c r="AI7" s="26"/>
      <x:c r="AJ7" s="26"/>
      <x:c r="AK7" s="26"/>
      <x:c r="AL7" s="26"/>
      <x:c r="AM7" s="26"/>
      <x:c r="AN7" s="26"/>
      <x:c r="AO7" s="26"/>
      <x:c r="AQ7" s="26"/>
      <x:c r="AR7" s="26"/>
      <x:c r="AS7" s="26"/>
      <x:c r="AT7" s="26"/>
      <x:c r="AU7" s="26"/>
      <x:c r="AV7" s="26"/>
      <x:c r="AW7" s="26"/>
      <x:c r="AX7" s="26"/>
      <x:c r="AY7" s="26"/>
      <x:c r="AZ7" s="26"/>
      <x:c r="BA7" s="26"/>
      <x:c r="BB7" s="26"/>
      <x:c r="BC7" s="26"/>
      <x:c r="BD7" s="26"/>
      <x:c r="BE7" s="26"/>
      <x:c r="BF7" s="26"/>
      <x:c r="BG7" s="26"/>
      <x:c r="BH7" s="26"/>
      <x:c r="BI7" s="26"/>
      <x:c r="BJ7" s="26"/>
      <x:c r="BK7" s="26"/>
      <x:c r="BL7" s="26"/>
      <x:c r="BM7" s="26"/>
      <x:c r="BN7" s="26"/>
      <x:c r="BO7" s="26"/>
      <x:c r="BP7" s="26"/>
      <x:c r="BQ7" s="26"/>
      <x:c r="BR7" s="26"/>
      <x:c r="BS7" s="26"/>
      <x:c r="BT7" s="26"/>
      <x:c r="BU7" s="26"/>
      <x:c r="BV7" s="26"/>
      <x:c r="BW7" s="26"/>
      <x:c r="BX7" s="26"/>
      <x:c r="BY7" s="26"/>
      <x:c r="BZ7" s="26"/>
      <x:c r="CA7" s="26"/>
      <x:c r="CB7" s="26"/>
      <x:c r="CC7" s="26"/>
      <x:c r="CD7" s="26"/>
      <x:c r="CE7" s="26"/>
      <x:c r="CF7" s="26"/>
      <x:c r="CG7" s="26"/>
      <x:c r="CH7" s="26"/>
      <x:c r="CI7" s="26"/>
      <x:c r="CJ7" s="26"/>
      <x:c r="CK7" s="26"/>
      <x:c r="CL7" s="26"/>
      <x:c r="CM7" s="26"/>
      <x:c r="CN7" s="26"/>
      <x:c r="CO7" s="26"/>
      <x:c r="CP7" s="26"/>
      <x:c r="CQ7" s="26"/>
      <x:c r="CR7" s="26"/>
      <x:c r="CS7" s="26"/>
      <x:c r="CT7" s="26"/>
      <x:c r="CU7" s="26"/>
      <x:c r="CV7" s="26"/>
      <x:c r="CW7" s="26"/>
      <x:c r="CX7" s="26"/>
      <x:c r="CY7" s="26"/>
      <x:c r="CZ7" s="26"/>
      <x:c r="DA7" s="26"/>
      <x:c r="DB7" s="26"/>
      <x:c r="DC7" s="26"/>
      <x:c r="DD7" s="26"/>
      <x:c r="DE7" s="26"/>
      <x:c r="DF7" s="26"/>
      <x:c r="DG7" s="26"/>
    </x:row>
    <x:row r="8" ht="18" customHeight="1"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30"/>
      <x:c r="AI8" s="30"/>
      <x:c r="AJ8" s="30"/>
      <x:c r="AK8" s="30"/>
      <x:c r="AL8" s="30"/>
      <x:c r="AM8" s="30"/>
      <x:c r="AN8" s="30"/>
      <x:c r="AO8" s="30"/>
      <x:c r="AQ8" s="30"/>
      <x:c r="AR8" s="30"/>
      <x:c r="AS8" s="30"/>
      <x:c r="AT8" s="30"/>
      <x:c r="AU8" s="30"/>
      <x:c r="AV8" s="30"/>
      <x:c r="AW8" s="30"/>
      <x:c r="AX8" s="30"/>
      <x:c r="AY8" s="30"/>
      <x:c r="AZ8" s="30"/>
      <x:c r="BA8" s="30"/>
      <x:c r="BB8" s="30"/>
      <x:c r="BC8" s="30"/>
      <x:c r="BD8" s="30"/>
      <x:c r="BE8" s="30"/>
      <x:c r="BF8" s="30"/>
      <x:c r="BG8" s="30"/>
      <x:c r="BH8" s="30"/>
      <x:c r="BI8" s="30"/>
      <x:c r="BJ8" s="30"/>
      <x:c r="BK8" s="30"/>
      <x:c r="BL8" s="30"/>
      <x:c r="BM8" s="30"/>
      <x:c r="BN8" s="30"/>
      <x:c r="BO8" s="30"/>
      <x:c r="BP8" s="30"/>
      <x:c r="BQ8" s="30"/>
      <x:c r="BR8" s="30"/>
      <x:c r="BS8" s="30"/>
      <x:c r="BT8" s="30"/>
      <x:c r="BU8" s="30"/>
      <x:c r="BV8" s="30"/>
      <x:c r="BW8" s="30"/>
      <x:c r="BX8" s="30"/>
      <x:c r="BY8" s="30"/>
      <x:c r="BZ8" s="30"/>
      <x:c r="CA8" s="30"/>
      <x:c r="CB8" s="30"/>
      <x:c r="CC8" s="30"/>
      <x:c r="CD8" s="30"/>
      <x:c r="CE8" s="30"/>
      <x:c r="CF8" s="30"/>
      <x:c r="CG8" s="30"/>
      <x:c r="CH8" s="30"/>
      <x:c r="CI8" s="30"/>
      <x:c r="CJ8" s="30"/>
      <x:c r="CK8" s="30"/>
      <x:c r="CL8" s="30"/>
      <x:c r="CM8" s="30"/>
      <x:c r="CN8" s="30"/>
      <x:c r="CO8" s="30"/>
      <x:c r="CP8" s="30"/>
      <x:c r="CQ8" s="30"/>
      <x:c r="CR8" s="30"/>
      <x:c r="CS8" s="30"/>
      <x:c r="CT8" s="30"/>
      <x:c r="CU8" s="30"/>
      <x:c r="CV8" s="30"/>
      <x:c r="CW8" s="30"/>
      <x:c r="CX8" s="30"/>
      <x:c r="CY8" s="30"/>
      <x:c r="CZ8" s="30"/>
      <x:c r="DA8" s="30"/>
      <x:c r="DB8" s="30"/>
      <x:c r="DC8" s="30"/>
      <x:c r="DD8" s="30"/>
      <x:c r="DE8" s="30"/>
      <x:c r="DF8" s="30"/>
      <x:c r="DG8" s="30"/>
    </x:row>
    <x:row r="9" ht="18" customHeight="1"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  <x:c r="AA9" s="26"/>
      <x:c r="AB9" s="26"/>
      <x:c r="AC9" s="26"/>
      <x:c r="AD9" s="26"/>
      <x:c r="AE9" s="26"/>
      <x:c r="AF9" s="26"/>
      <x:c r="AG9" s="26"/>
      <x:c r="AH9" s="26"/>
      <x:c r="AI9" s="26"/>
      <x:c r="AJ9" s="26"/>
      <x:c r="AK9" s="26"/>
      <x:c r="AL9" s="26"/>
      <x:c r="AM9" s="26"/>
      <x:c r="AN9" s="26"/>
      <x:c r="AO9" s="26"/>
      <x:c r="AQ9" s="26"/>
      <x:c r="AR9" s="26"/>
      <x:c r="AS9" s="26"/>
      <x:c r="AT9" s="26"/>
      <x:c r="AU9" s="26"/>
      <x:c r="AV9" s="26"/>
      <x:c r="AW9" s="26"/>
      <x:c r="AX9" s="26"/>
      <x:c r="AY9" s="26"/>
      <x:c r="AZ9" s="26"/>
      <x:c r="BA9" s="26"/>
      <x:c r="BB9" s="26"/>
      <x:c r="BC9" s="26"/>
      <x:c r="BD9" s="26"/>
      <x:c r="BE9" s="26"/>
      <x:c r="BF9" s="26"/>
      <x:c r="BG9" s="26"/>
      <x:c r="BH9" s="26"/>
      <x:c r="BI9" s="26"/>
      <x:c r="BJ9" s="26"/>
      <x:c r="BK9" s="26"/>
      <x:c r="BL9" s="26"/>
      <x:c r="BM9" s="26"/>
      <x:c r="BN9" s="26"/>
      <x:c r="BO9" s="26"/>
      <x:c r="BP9" s="26"/>
      <x:c r="BQ9" s="26"/>
      <x:c r="BR9" s="26"/>
      <x:c r="BS9" s="26"/>
      <x:c r="BT9" s="26"/>
      <x:c r="BU9" s="26"/>
      <x:c r="BV9" s="26"/>
      <x:c r="BW9" s="26"/>
      <x:c r="BX9" s="26"/>
      <x:c r="BY9" s="26"/>
      <x:c r="BZ9" s="26"/>
      <x:c r="CA9" s="26"/>
      <x:c r="CB9" s="26"/>
      <x:c r="CC9" s="26"/>
      <x:c r="CD9" s="26"/>
      <x:c r="CE9" s="26"/>
      <x:c r="CF9" s="26"/>
      <x:c r="CG9" s="26"/>
      <x:c r="CH9" s="26"/>
      <x:c r="CI9" s="26"/>
      <x:c r="CJ9" s="26"/>
      <x:c r="CK9" s="26"/>
      <x:c r="CL9" s="26"/>
      <x:c r="CM9" s="26"/>
      <x:c r="CN9" s="26"/>
      <x:c r="CO9" s="26"/>
      <x:c r="CP9" s="26"/>
      <x:c r="CQ9" s="26"/>
      <x:c r="CR9" s="26"/>
      <x:c r="CS9" s="26"/>
      <x:c r="CT9" s="26"/>
      <x:c r="CU9" s="26"/>
      <x:c r="CV9" s="26"/>
      <x:c r="CW9" s="26"/>
      <x:c r="CX9" s="26"/>
      <x:c r="CY9" s="26"/>
      <x:c r="CZ9" s="26"/>
      <x:c r="DA9" s="26"/>
      <x:c r="DB9" s="26"/>
      <x:c r="DC9" s="26"/>
      <x:c r="DD9" s="26"/>
      <x:c r="DE9" s="26"/>
      <x:c r="DF9" s="26"/>
      <x:c r="DG9" s="26"/>
    </x:row>
    <x:row r="10" ht="18" customHeight="1"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30"/>
      <x:c r="AI10" s="30"/>
      <x:c r="AJ10" s="30"/>
      <x:c r="AK10" s="30"/>
      <x:c r="AL10" s="30"/>
      <x:c r="AM10" s="30"/>
      <x:c r="AN10" s="30"/>
      <x:c r="AO10" s="30"/>
      <x:c r="AQ10" s="30"/>
      <x:c r="AR10" s="30"/>
      <x:c r="AS10" s="30"/>
      <x:c r="AT10" s="30"/>
      <x:c r="AU10" s="30"/>
      <x:c r="AV10" s="30"/>
      <x:c r="AW10" s="30"/>
      <x:c r="AX10" s="30"/>
      <x:c r="AY10" s="30"/>
      <x:c r="AZ10" s="30"/>
      <x:c r="BA10" s="30"/>
      <x:c r="BB10" s="30"/>
      <x:c r="BC10" s="30"/>
      <x:c r="BD10" s="30"/>
      <x:c r="BE10" s="30"/>
      <x:c r="BF10" s="30"/>
      <x:c r="BG10" s="30"/>
      <x:c r="BH10" s="30"/>
      <x:c r="BI10" s="30"/>
      <x:c r="BJ10" s="30"/>
      <x:c r="BK10" s="30"/>
      <x:c r="BL10" s="30"/>
      <x:c r="BM10" s="30"/>
      <x:c r="BN10" s="30"/>
      <x:c r="BO10" s="30"/>
      <x:c r="BP10" s="30"/>
      <x:c r="BQ10" s="30"/>
      <x:c r="BR10" s="30"/>
      <x:c r="BS10" s="30"/>
      <x:c r="BT10" s="30"/>
      <x:c r="BU10" s="30"/>
      <x:c r="BV10" s="30"/>
      <x:c r="BW10" s="30"/>
      <x:c r="BX10" s="30"/>
      <x:c r="BY10" s="30"/>
      <x:c r="BZ10" s="30"/>
      <x:c r="CA10" s="30"/>
      <x:c r="CB10" s="30"/>
      <x:c r="CC10" s="30"/>
      <x:c r="CD10" s="30"/>
      <x:c r="CE10" s="30"/>
      <x:c r="CF10" s="30"/>
      <x:c r="CG10" s="30"/>
      <x:c r="CH10" s="30"/>
      <x:c r="CI10" s="30"/>
      <x:c r="CJ10" s="30"/>
      <x:c r="CK10" s="30"/>
      <x:c r="CL10" s="30"/>
      <x:c r="CM10" s="30"/>
      <x:c r="CN10" s="30"/>
      <x:c r="CO10" s="30"/>
      <x:c r="CP10" s="30"/>
      <x:c r="CQ10" s="30"/>
      <x:c r="CR10" s="30"/>
      <x:c r="CS10" s="30"/>
      <x:c r="CT10" s="30"/>
      <x:c r="CU10" s="30"/>
      <x:c r="CV10" s="30"/>
      <x:c r="CW10" s="30"/>
      <x:c r="CX10" s="30"/>
      <x:c r="CY10" s="30"/>
      <x:c r="CZ10" s="30"/>
      <x:c r="DA10" s="30"/>
      <x:c r="DB10" s="30"/>
      <x:c r="DC10" s="30"/>
      <x:c r="DD10" s="30"/>
      <x:c r="DE10" s="30"/>
      <x:c r="DF10" s="30"/>
      <x:c r="DG10" s="30"/>
    </x:row>
    <x:row r="11" ht="18" customHeight="1"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  <x:c r="AA11" s="26"/>
      <x:c r="AB11" s="26"/>
      <x:c r="AC11" s="26"/>
      <x:c r="AD11" s="26"/>
      <x:c r="AE11" s="26"/>
      <x:c r="AF11" s="26"/>
      <x:c r="AG11" s="26"/>
      <x:c r="AH11" s="26"/>
      <x:c r="AI11" s="26"/>
      <x:c r="AJ11" s="26"/>
      <x:c r="AK11" s="26"/>
      <x:c r="AL11" s="26"/>
      <x:c r="AM11" s="26"/>
      <x:c r="AN11" s="26"/>
      <x:c r="AO11" s="26"/>
      <x:c r="AQ11" s="26"/>
      <x:c r="AR11" s="26"/>
      <x:c r="AS11" s="26"/>
      <x:c r="AT11" s="26"/>
      <x:c r="AU11" s="26"/>
      <x:c r="AV11" s="26"/>
      <x:c r="AW11" s="26"/>
      <x:c r="AX11" s="26"/>
      <x:c r="AY11" s="26"/>
      <x:c r="AZ11" s="26"/>
      <x:c r="BA11" s="26"/>
      <x:c r="BB11" s="26"/>
      <x:c r="BC11" s="26"/>
      <x:c r="BD11" s="26"/>
      <x:c r="BE11" s="26"/>
      <x:c r="BF11" s="26"/>
      <x:c r="BG11" s="26"/>
      <x:c r="BH11" s="26"/>
      <x:c r="BI11" s="26"/>
      <x:c r="BJ11" s="26"/>
      <x:c r="BK11" s="26"/>
      <x:c r="BL11" s="26"/>
      <x:c r="BM11" s="26"/>
      <x:c r="BN11" s="26"/>
      <x:c r="BO11" s="26"/>
      <x:c r="BP11" s="26"/>
      <x:c r="BQ11" s="26"/>
      <x:c r="BR11" s="26"/>
      <x:c r="BS11" s="26"/>
      <x:c r="BT11" s="26"/>
      <x:c r="BU11" s="26"/>
      <x:c r="BV11" s="26"/>
      <x:c r="BW11" s="26"/>
      <x:c r="BX11" s="26"/>
      <x:c r="BY11" s="26"/>
      <x:c r="BZ11" s="26"/>
      <x:c r="CA11" s="26"/>
      <x:c r="CB11" s="26"/>
      <x:c r="CC11" s="26"/>
      <x:c r="CD11" s="26"/>
      <x:c r="CE11" s="26"/>
      <x:c r="CF11" s="26"/>
      <x:c r="CG11" s="26"/>
      <x:c r="CH11" s="26"/>
      <x:c r="CI11" s="26"/>
      <x:c r="CJ11" s="26"/>
      <x:c r="CK11" s="26"/>
      <x:c r="CL11" s="26"/>
      <x:c r="CM11" s="26"/>
      <x:c r="CN11" s="26"/>
      <x:c r="CO11" s="26"/>
      <x:c r="CP11" s="26"/>
      <x:c r="CQ11" s="26"/>
      <x:c r="CR11" s="26"/>
      <x:c r="CS11" s="26"/>
      <x:c r="CT11" s="26"/>
      <x:c r="CU11" s="26"/>
      <x:c r="CV11" s="26"/>
      <x:c r="CW11" s="26"/>
      <x:c r="CX11" s="26"/>
      <x:c r="CY11" s="26"/>
      <x:c r="CZ11" s="26"/>
      <x:c r="DA11" s="26"/>
      <x:c r="DB11" s="26"/>
      <x:c r="DC11" s="26"/>
      <x:c r="DD11" s="26"/>
      <x:c r="DE11" s="26"/>
      <x:c r="DF11" s="26"/>
      <x:c r="DG11" s="26"/>
    </x:row>
    <x:row r="12" ht="18" customHeight="1"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30"/>
      <x:c r="AI12" s="30"/>
      <x:c r="AJ12" s="30"/>
      <x:c r="AK12" s="30"/>
      <x:c r="AL12" s="30"/>
      <x:c r="AM12" s="30"/>
      <x:c r="AN12" s="30"/>
      <x:c r="AO12" s="30"/>
      <x:c r="AQ12" s="30"/>
      <x:c r="AR12" s="30"/>
      <x:c r="AS12" s="30"/>
      <x:c r="AT12" s="30"/>
      <x:c r="AU12" s="30"/>
      <x:c r="AV12" s="30"/>
      <x:c r="AW12" s="30"/>
      <x:c r="AX12" s="30"/>
      <x:c r="AY12" s="30"/>
      <x:c r="AZ12" s="30"/>
      <x:c r="BA12" s="30"/>
      <x:c r="BB12" s="30"/>
      <x:c r="BC12" s="30"/>
      <x:c r="BD12" s="30"/>
      <x:c r="BE12" s="30"/>
      <x:c r="BF12" s="30"/>
      <x:c r="BG12" s="30"/>
      <x:c r="BH12" s="30"/>
      <x:c r="BI12" s="30"/>
      <x:c r="BJ12" s="30"/>
      <x:c r="BK12" s="30"/>
      <x:c r="BL12" s="30"/>
      <x:c r="BM12" s="30"/>
      <x:c r="BN12" s="30"/>
      <x:c r="BO12" s="30"/>
      <x:c r="BP12" s="30"/>
      <x:c r="BQ12" s="30"/>
      <x:c r="BR12" s="30"/>
      <x:c r="BS12" s="30"/>
      <x:c r="BT12" s="30"/>
      <x:c r="BU12" s="30"/>
      <x:c r="BV12" s="30"/>
      <x:c r="BW12" s="30"/>
      <x:c r="BX12" s="30"/>
      <x:c r="BY12" s="30"/>
      <x:c r="BZ12" s="30"/>
      <x:c r="CA12" s="30"/>
      <x:c r="CB12" s="30"/>
      <x:c r="CC12" s="30"/>
      <x:c r="CD12" s="30"/>
      <x:c r="CE12" s="30"/>
      <x:c r="CF12" s="30"/>
      <x:c r="CG12" s="30"/>
      <x:c r="CH12" s="30"/>
      <x:c r="CI12" s="30"/>
      <x:c r="CJ12" s="30"/>
      <x:c r="CK12" s="30"/>
      <x:c r="CL12" s="30"/>
      <x:c r="CM12" s="30"/>
      <x:c r="CN12" s="30"/>
      <x:c r="CO12" s="30"/>
      <x:c r="CP12" s="30"/>
      <x:c r="CQ12" s="30"/>
      <x:c r="CR12" s="30"/>
      <x:c r="CS12" s="30"/>
      <x:c r="CT12" s="30"/>
      <x:c r="CU12" s="30"/>
      <x:c r="CV12" s="30"/>
      <x:c r="CW12" s="30"/>
      <x:c r="CX12" s="30"/>
      <x:c r="CY12" s="30"/>
      <x:c r="CZ12" s="30"/>
      <x:c r="DA12" s="30"/>
      <x:c r="DB12" s="30"/>
      <x:c r="DC12" s="30"/>
      <x:c r="DD12" s="30"/>
      <x:c r="DE12" s="30"/>
      <x:c r="DF12" s="30"/>
      <x:c r="DG12" s="30"/>
    </x:row>
    <x:row r="13" ht="18" customHeight="1"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  <x:c r="AA13" s="26"/>
      <x:c r="AB13" s="26"/>
      <x:c r="AC13" s="26"/>
      <x:c r="AD13" s="26"/>
      <x:c r="AE13" s="26"/>
      <x:c r="AF13" s="26"/>
      <x:c r="AG13" s="26"/>
      <x:c r="AH13" s="26"/>
      <x:c r="AI13" s="26"/>
      <x:c r="AJ13" s="26"/>
      <x:c r="AK13" s="26"/>
      <x:c r="AL13" s="26"/>
      <x:c r="AM13" s="26"/>
      <x:c r="AN13" s="26"/>
      <x:c r="AO13" s="26"/>
      <x:c r="AQ13" s="26"/>
      <x:c r="AR13" s="26"/>
      <x:c r="AS13" s="26"/>
      <x:c r="AT13" s="26"/>
      <x:c r="AU13" s="26"/>
      <x:c r="AV13" s="26"/>
      <x:c r="AW13" s="26"/>
      <x:c r="AX13" s="26"/>
      <x:c r="AY13" s="26"/>
      <x:c r="AZ13" s="26"/>
      <x:c r="BA13" s="26"/>
      <x:c r="BB13" s="26"/>
      <x:c r="BC13" s="26"/>
      <x:c r="BD13" s="26"/>
      <x:c r="BE13" s="26"/>
      <x:c r="BF13" s="26"/>
      <x:c r="BG13" s="26"/>
      <x:c r="BH13" s="26"/>
      <x:c r="BI13" s="26"/>
      <x:c r="BJ13" s="26"/>
      <x:c r="BK13" s="26"/>
      <x:c r="BL13" s="26"/>
      <x:c r="BM13" s="26"/>
      <x:c r="BN13" s="26"/>
      <x:c r="BO13" s="26"/>
      <x:c r="BP13" s="26"/>
      <x:c r="BQ13" s="26"/>
      <x:c r="BR13" s="26"/>
      <x:c r="BS13" s="26"/>
      <x:c r="BT13" s="26"/>
      <x:c r="BU13" s="26"/>
      <x:c r="BV13" s="26"/>
      <x:c r="BW13" s="26"/>
      <x:c r="BX13" s="26"/>
      <x:c r="BY13" s="26"/>
      <x:c r="BZ13" s="26"/>
      <x:c r="CA13" s="26"/>
      <x:c r="CB13" s="26"/>
      <x:c r="CC13" s="26"/>
      <x:c r="CD13" s="26"/>
      <x:c r="CE13" s="26"/>
      <x:c r="CF13" s="26"/>
      <x:c r="CG13" s="26"/>
      <x:c r="CH13" s="26"/>
      <x:c r="CI13" s="26"/>
      <x:c r="CJ13" s="26"/>
      <x:c r="CK13" s="26"/>
      <x:c r="CL13" s="26"/>
      <x:c r="CM13" s="26"/>
      <x:c r="CN13" s="26"/>
      <x:c r="CO13" s="26"/>
      <x:c r="CP13" s="26"/>
      <x:c r="CQ13" s="26"/>
      <x:c r="CR13" s="26"/>
      <x:c r="CS13" s="26"/>
      <x:c r="CT13" s="26"/>
      <x:c r="CU13" s="26"/>
      <x:c r="CV13" s="26"/>
      <x:c r="CW13" s="26"/>
      <x:c r="CX13" s="26"/>
      <x:c r="CY13" s="26"/>
      <x:c r="CZ13" s="26"/>
      <x:c r="DA13" s="26"/>
      <x:c r="DB13" s="26"/>
      <x:c r="DC13" s="26"/>
      <x:c r="DD13" s="26"/>
      <x:c r="DE13" s="26"/>
      <x:c r="DF13" s="26"/>
      <x:c r="DG13" s="26"/>
    </x:row>
    <x:row r="14" ht="18" customHeight="1"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30"/>
      <x:c r="AI14" s="30"/>
      <x:c r="AJ14" s="30"/>
      <x:c r="AK14" s="30"/>
      <x:c r="AL14" s="30"/>
      <x:c r="AM14" s="30"/>
      <x:c r="AN14" s="30"/>
      <x:c r="AO14" s="30"/>
      <x:c r="AQ14" s="30"/>
      <x:c r="AR14" s="30"/>
      <x:c r="AS14" s="30"/>
      <x:c r="AT14" s="30"/>
      <x:c r="AU14" s="30"/>
      <x:c r="AV14" s="30"/>
      <x:c r="AW14" s="30"/>
      <x:c r="AX14" s="30"/>
      <x:c r="AY14" s="30"/>
      <x:c r="AZ14" s="30"/>
      <x:c r="BA14" s="30"/>
      <x:c r="BB14" s="30"/>
      <x:c r="BC14" s="30"/>
      <x:c r="BD14" s="30"/>
      <x:c r="BE14" s="30"/>
      <x:c r="BF14" s="30"/>
      <x:c r="BG14" s="30"/>
      <x:c r="BH14" s="30"/>
      <x:c r="BI14" s="30"/>
      <x:c r="BJ14" s="30"/>
      <x:c r="BK14" s="30"/>
      <x:c r="BL14" s="30"/>
      <x:c r="BM14" s="30"/>
      <x:c r="BN14" s="30"/>
      <x:c r="BO14" s="30"/>
      <x:c r="BP14" s="30"/>
      <x:c r="BQ14" s="30"/>
      <x:c r="BR14" s="30"/>
      <x:c r="BS14" s="30"/>
      <x:c r="BT14" s="30"/>
      <x:c r="BU14" s="30"/>
      <x:c r="BV14" s="30"/>
      <x:c r="BW14" s="30"/>
      <x:c r="BX14" s="30"/>
      <x:c r="BY14" s="30"/>
      <x:c r="BZ14" s="30"/>
      <x:c r="CA14" s="30"/>
      <x:c r="CB14" s="30"/>
      <x:c r="CC14" s="30"/>
      <x:c r="CD14" s="30"/>
      <x:c r="CE14" s="30"/>
      <x:c r="CF14" s="30"/>
      <x:c r="CG14" s="30"/>
      <x:c r="CH14" s="30"/>
      <x:c r="CI14" s="30"/>
      <x:c r="CJ14" s="30"/>
      <x:c r="CK14" s="30"/>
      <x:c r="CL14" s="30"/>
      <x:c r="CM14" s="30"/>
      <x:c r="CN14" s="30"/>
      <x:c r="CO14" s="30"/>
      <x:c r="CP14" s="30"/>
      <x:c r="CQ14" s="30"/>
      <x:c r="CR14" s="30"/>
      <x:c r="CS14" s="30"/>
      <x:c r="CT14" s="30"/>
      <x:c r="CU14" s="30"/>
      <x:c r="CV14" s="30"/>
      <x:c r="CW14" s="30"/>
      <x:c r="CX14" s="30"/>
      <x:c r="CY14" s="30"/>
      <x:c r="CZ14" s="30"/>
      <x:c r="DA14" s="30"/>
      <x:c r="DB14" s="30"/>
      <x:c r="DC14" s="30"/>
      <x:c r="DD14" s="30"/>
      <x:c r="DE14" s="30"/>
      <x:c r="DF14" s="30"/>
      <x:c r="DG14" s="30"/>
    </x:row>
    <x:row r="15" ht="18" customHeight="1"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  <x:c r="AA15" s="26"/>
      <x:c r="AB15" s="26"/>
      <x:c r="AC15" s="26"/>
      <x:c r="AD15" s="26"/>
      <x:c r="AE15" s="26"/>
      <x:c r="AF15" s="26"/>
      <x:c r="AG15" s="26"/>
      <x:c r="AH15" s="26"/>
      <x:c r="AI15" s="26"/>
      <x:c r="AJ15" s="26"/>
      <x:c r="AK15" s="26"/>
      <x:c r="AL15" s="26"/>
      <x:c r="AM15" s="26"/>
      <x:c r="AN15" s="26"/>
      <x:c r="AO15" s="26"/>
      <x:c r="AQ15" s="26"/>
      <x:c r="AR15" s="26"/>
      <x:c r="AS15" s="26"/>
      <x:c r="AT15" s="26"/>
      <x:c r="AU15" s="26"/>
      <x:c r="AV15" s="26"/>
      <x:c r="AW15" s="26"/>
      <x:c r="AX15" s="26"/>
      <x:c r="AY15" s="26"/>
      <x:c r="AZ15" s="26"/>
      <x:c r="BA15" s="26"/>
      <x:c r="BB15" s="26"/>
      <x:c r="BC15" s="26"/>
      <x:c r="BD15" s="26"/>
      <x:c r="BE15" s="26"/>
      <x:c r="BF15" s="26"/>
      <x:c r="BG15" s="26"/>
      <x:c r="BH15" s="26"/>
      <x:c r="BI15" s="26"/>
      <x:c r="BJ15" s="26"/>
      <x:c r="BK15" s="26"/>
      <x:c r="BL15" s="26"/>
      <x:c r="BM15" s="26"/>
      <x:c r="BN15" s="26"/>
      <x:c r="BO15" s="26"/>
      <x:c r="BP15" s="26"/>
      <x:c r="BQ15" s="26"/>
      <x:c r="BR15" s="26"/>
      <x:c r="BS15" s="26"/>
      <x:c r="BT15" s="26"/>
      <x:c r="BU15" s="26"/>
      <x:c r="BV15" s="26"/>
      <x:c r="BW15" s="26"/>
      <x:c r="BX15" s="26"/>
      <x:c r="BY15" s="26"/>
      <x:c r="BZ15" s="26"/>
      <x:c r="CA15" s="26"/>
      <x:c r="CB15" s="26"/>
      <x:c r="CC15" s="26"/>
      <x:c r="CD15" s="26"/>
      <x:c r="CE15" s="26"/>
      <x:c r="CF15" s="26"/>
      <x:c r="CG15" s="26"/>
      <x:c r="CH15" s="26"/>
      <x:c r="CI15" s="26"/>
      <x:c r="CJ15" s="26"/>
      <x:c r="CK15" s="26"/>
      <x:c r="CL15" s="26"/>
      <x:c r="CM15" s="26"/>
      <x:c r="CN15" s="26"/>
      <x:c r="CO15" s="26"/>
      <x:c r="CP15" s="26"/>
      <x:c r="CQ15" s="26"/>
      <x:c r="CR15" s="26"/>
      <x:c r="CS15" s="26"/>
      <x:c r="CT15" s="26"/>
      <x:c r="CU15" s="26"/>
      <x:c r="CV15" s="26"/>
      <x:c r="CW15" s="26"/>
      <x:c r="CX15" s="26"/>
      <x:c r="CY15" s="26"/>
      <x:c r="CZ15" s="26"/>
      <x:c r="DA15" s="26"/>
      <x:c r="DB15" s="26"/>
      <x:c r="DC15" s="26"/>
      <x:c r="DD15" s="26"/>
      <x:c r="DE15" s="26"/>
      <x:c r="DF15" s="26"/>
      <x:c r="DG15" s="26"/>
    </x:row>
    <x:row r="16" ht="18" customHeight="1"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30"/>
      <x:c r="AI16" s="30"/>
      <x:c r="AJ16" s="30"/>
      <x:c r="AK16" s="30"/>
      <x:c r="AL16" s="30"/>
      <x:c r="AM16" s="30"/>
      <x:c r="AN16" s="30"/>
      <x:c r="AO16" s="30"/>
      <x:c r="AQ16" s="30"/>
      <x:c r="AR16" s="30"/>
      <x:c r="AS16" s="30"/>
      <x:c r="AT16" s="30"/>
      <x:c r="AU16" s="30"/>
      <x:c r="AV16" s="30"/>
      <x:c r="AW16" s="30"/>
      <x:c r="AX16" s="30"/>
      <x:c r="AY16" s="30"/>
      <x:c r="AZ16" s="30"/>
      <x:c r="BA16" s="30"/>
      <x:c r="BB16" s="30"/>
      <x:c r="BC16" s="30"/>
      <x:c r="BD16" s="30"/>
      <x:c r="BE16" s="30"/>
      <x:c r="BF16" s="30"/>
      <x:c r="BG16" s="30"/>
      <x:c r="BH16" s="30"/>
      <x:c r="BI16" s="30"/>
      <x:c r="BJ16" s="30"/>
      <x:c r="BK16" s="30"/>
      <x:c r="BL16" s="30"/>
      <x:c r="BM16" s="30"/>
      <x:c r="BN16" s="30"/>
      <x:c r="BO16" s="30"/>
      <x:c r="BP16" s="30"/>
      <x:c r="BQ16" s="30"/>
      <x:c r="BR16" s="30"/>
      <x:c r="BS16" s="30"/>
      <x:c r="BT16" s="30"/>
      <x:c r="BU16" s="30"/>
      <x:c r="BV16" s="30"/>
      <x:c r="BW16" s="30"/>
      <x:c r="BX16" s="30"/>
      <x:c r="BY16" s="30"/>
      <x:c r="BZ16" s="30"/>
      <x:c r="CA16" s="30"/>
      <x:c r="CB16" s="30"/>
      <x:c r="CC16" s="30"/>
      <x:c r="CD16" s="30"/>
      <x:c r="CE16" s="30"/>
      <x:c r="CF16" s="30"/>
      <x:c r="CG16" s="30"/>
      <x:c r="CH16" s="30"/>
      <x:c r="CI16" s="30"/>
      <x:c r="CJ16" s="30"/>
      <x:c r="CK16" s="30"/>
      <x:c r="CL16" s="30"/>
      <x:c r="CM16" s="30"/>
      <x:c r="CN16" s="30"/>
      <x:c r="CO16" s="30"/>
      <x:c r="CP16" s="30"/>
      <x:c r="CQ16" s="30"/>
      <x:c r="CR16" s="30"/>
      <x:c r="CS16" s="30"/>
      <x:c r="CT16" s="30"/>
      <x:c r="CU16" s="30"/>
      <x:c r="CV16" s="30"/>
      <x:c r="CW16" s="30"/>
      <x:c r="CX16" s="30"/>
      <x:c r="CY16" s="30"/>
      <x:c r="CZ16" s="30"/>
      <x:c r="DA16" s="30"/>
      <x:c r="DB16" s="30"/>
      <x:c r="DC16" s="30"/>
      <x:c r="DD16" s="30"/>
      <x:c r="DE16" s="30"/>
      <x:c r="DF16" s="30"/>
      <x:c r="DG16" s="30"/>
    </x:row>
    <x:row r="17" ht="18" customHeight="1"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  <x:c r="AA17" s="26"/>
      <x:c r="AB17" s="26"/>
      <x:c r="AC17" s="26"/>
      <x:c r="AD17" s="26"/>
      <x:c r="AE17" s="26"/>
      <x:c r="AF17" s="26"/>
      <x:c r="AG17" s="26"/>
      <x:c r="AH17" s="26"/>
      <x:c r="AI17" s="26"/>
      <x:c r="AJ17" s="26"/>
      <x:c r="AK17" s="26"/>
      <x:c r="AL17" s="26"/>
      <x:c r="AM17" s="26"/>
      <x:c r="AN17" s="26"/>
      <x:c r="AO17" s="26"/>
      <x:c r="AQ17" s="26"/>
      <x:c r="AR17" s="26"/>
      <x:c r="AS17" s="26"/>
      <x:c r="AT17" s="26"/>
      <x:c r="AU17" s="26"/>
      <x:c r="AV17" s="26"/>
      <x:c r="AW17" s="26"/>
      <x:c r="AX17" s="26"/>
      <x:c r="AY17" s="26"/>
      <x:c r="AZ17" s="26"/>
      <x:c r="BA17" s="26"/>
      <x:c r="BB17" s="26"/>
      <x:c r="BC17" s="26"/>
      <x:c r="BD17" s="26"/>
      <x:c r="BE17" s="26"/>
      <x:c r="BF17" s="26"/>
      <x:c r="BG17" s="26"/>
      <x:c r="BH17" s="26"/>
      <x:c r="BI17" s="26"/>
      <x:c r="BJ17" s="26"/>
      <x:c r="BK17" s="26"/>
      <x:c r="BL17" s="26"/>
      <x:c r="BM17" s="26"/>
      <x:c r="BN17" s="26"/>
      <x:c r="BO17" s="26"/>
      <x:c r="BP17" s="26"/>
      <x:c r="BQ17" s="26"/>
      <x:c r="BR17" s="26"/>
      <x:c r="BS17" s="26"/>
      <x:c r="BT17" s="26"/>
      <x:c r="BU17" s="26"/>
      <x:c r="BV17" s="26"/>
      <x:c r="BW17" s="26"/>
      <x:c r="BX17" s="26"/>
      <x:c r="BY17" s="26"/>
      <x:c r="BZ17" s="26"/>
      <x:c r="CA17" s="26"/>
      <x:c r="CB17" s="26"/>
      <x:c r="CC17" s="26"/>
      <x:c r="CD17" s="26"/>
      <x:c r="CE17" s="26"/>
      <x:c r="CF17" s="26"/>
      <x:c r="CG17" s="26"/>
      <x:c r="CH17" s="26"/>
      <x:c r="CI17" s="26"/>
      <x:c r="CJ17" s="26"/>
      <x:c r="CK17" s="26"/>
      <x:c r="CL17" s="26"/>
      <x:c r="CM17" s="26"/>
      <x:c r="CN17" s="26"/>
      <x:c r="CO17" s="26"/>
      <x:c r="CP17" s="26"/>
      <x:c r="CQ17" s="26"/>
      <x:c r="CR17" s="26"/>
      <x:c r="CS17" s="26"/>
      <x:c r="CT17" s="26"/>
      <x:c r="CU17" s="26"/>
      <x:c r="CV17" s="26"/>
      <x:c r="CW17" s="26"/>
      <x:c r="CX17" s="26"/>
      <x:c r="CY17" s="26"/>
      <x:c r="CZ17" s="26"/>
      <x:c r="DA17" s="26"/>
      <x:c r="DB17" s="26"/>
      <x:c r="DC17" s="26"/>
      <x:c r="DD17" s="26"/>
      <x:c r="DE17" s="26"/>
      <x:c r="DF17" s="26"/>
      <x:c r="DG17" s="26"/>
    </x:row>
    <x:row r="18" ht="18" customHeight="1"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30"/>
      <x:c r="AI18" s="30"/>
      <x:c r="AJ18" s="30"/>
      <x:c r="AK18" s="30"/>
      <x:c r="AL18" s="30"/>
      <x:c r="AM18" s="30"/>
      <x:c r="AN18" s="30"/>
      <x:c r="AO18" s="30"/>
      <x:c r="AQ18" s="30"/>
      <x:c r="AR18" s="30"/>
      <x:c r="AS18" s="30"/>
      <x:c r="AT18" s="30"/>
      <x:c r="AU18" s="30"/>
      <x:c r="AV18" s="30"/>
      <x:c r="AW18" s="30"/>
      <x:c r="AX18" s="30"/>
      <x:c r="AY18" s="30"/>
      <x:c r="AZ18" s="30"/>
      <x:c r="BA18" s="30"/>
      <x:c r="BB18" s="30"/>
      <x:c r="BC18" s="30"/>
      <x:c r="BD18" s="30"/>
      <x:c r="BE18" s="30"/>
      <x:c r="BF18" s="30"/>
      <x:c r="BG18" s="30"/>
      <x:c r="BH18" s="30"/>
      <x:c r="BI18" s="30"/>
      <x:c r="BJ18" s="30"/>
      <x:c r="BK18" s="30"/>
      <x:c r="BL18" s="30"/>
      <x:c r="BM18" s="30"/>
      <x:c r="BN18" s="30"/>
      <x:c r="BO18" s="30"/>
      <x:c r="BP18" s="30"/>
      <x:c r="BQ18" s="30"/>
      <x:c r="BR18" s="30"/>
      <x:c r="BS18" s="30"/>
      <x:c r="BT18" s="30"/>
      <x:c r="BU18" s="30"/>
      <x:c r="BV18" s="30"/>
      <x:c r="BW18" s="30"/>
      <x:c r="BX18" s="30"/>
      <x:c r="BY18" s="30"/>
      <x:c r="BZ18" s="30"/>
      <x:c r="CA18" s="30"/>
      <x:c r="CB18" s="30"/>
      <x:c r="CC18" s="30"/>
      <x:c r="CD18" s="30"/>
      <x:c r="CE18" s="30"/>
      <x:c r="CF18" s="30"/>
      <x:c r="CG18" s="30"/>
      <x:c r="CH18" s="30"/>
      <x:c r="CI18" s="30"/>
      <x:c r="CJ18" s="30"/>
      <x:c r="CK18" s="30"/>
      <x:c r="CL18" s="30"/>
      <x:c r="CM18" s="30"/>
      <x:c r="CN18" s="30"/>
      <x:c r="CO18" s="30"/>
      <x:c r="CP18" s="30"/>
      <x:c r="CQ18" s="30"/>
      <x:c r="CR18" s="30"/>
      <x:c r="CS18" s="30"/>
      <x:c r="CT18" s="30"/>
      <x:c r="CU18" s="30"/>
      <x:c r="CV18" s="30"/>
      <x:c r="CW18" s="30"/>
      <x:c r="CX18" s="30"/>
      <x:c r="CY18" s="30"/>
      <x:c r="CZ18" s="30"/>
      <x:c r="DA18" s="30"/>
      <x:c r="DB18" s="30"/>
      <x:c r="DC18" s="30"/>
      <x:c r="DD18" s="30"/>
      <x:c r="DE18" s="30"/>
      <x:c r="DF18" s="30"/>
      <x:c r="DG18" s="30"/>
    </x:row>
    <x:row r="19" ht="18" customHeight="1"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  <x:c r="AA19" s="26"/>
      <x:c r="AB19" s="26"/>
      <x:c r="AC19" s="26"/>
      <x:c r="AD19" s="26"/>
      <x:c r="AE19" s="26"/>
      <x:c r="AF19" s="26"/>
      <x:c r="AG19" s="26"/>
      <x:c r="AH19" s="26"/>
      <x:c r="AI19" s="26"/>
      <x:c r="AJ19" s="26"/>
      <x:c r="AK19" s="26"/>
      <x:c r="AL19" s="26"/>
      <x:c r="AM19" s="26"/>
      <x:c r="AN19" s="26"/>
      <x:c r="AO19" s="26"/>
      <x:c r="AQ19" s="26"/>
      <x:c r="AR19" s="26"/>
      <x:c r="AS19" s="26"/>
      <x:c r="AT19" s="26"/>
      <x:c r="AU19" s="26"/>
      <x:c r="AV19" s="26"/>
      <x:c r="AW19" s="26"/>
      <x:c r="AX19" s="26"/>
      <x:c r="AY19" s="26"/>
      <x:c r="AZ19" s="26"/>
      <x:c r="BA19" s="26"/>
      <x:c r="BB19" s="26"/>
      <x:c r="BC19" s="26"/>
      <x:c r="BD19" s="26"/>
      <x:c r="BE19" s="26"/>
      <x:c r="BF19" s="26"/>
      <x:c r="BG19" s="26"/>
      <x:c r="BH19" s="26"/>
      <x:c r="BI19" s="26"/>
      <x:c r="BJ19" s="26"/>
      <x:c r="BK19" s="26"/>
      <x:c r="BL19" s="26"/>
      <x:c r="BM19" s="26"/>
      <x:c r="BN19" s="26"/>
      <x:c r="BO19" s="26"/>
      <x:c r="BP19" s="26"/>
      <x:c r="BQ19" s="26"/>
      <x:c r="BR19" s="26"/>
      <x:c r="BS19" s="26"/>
      <x:c r="BT19" s="26"/>
      <x:c r="BU19" s="26"/>
      <x:c r="BV19" s="26"/>
      <x:c r="BW19" s="26"/>
      <x:c r="BX19" s="26"/>
      <x:c r="BY19" s="26"/>
      <x:c r="BZ19" s="26"/>
      <x:c r="CA19" s="26"/>
      <x:c r="CB19" s="26"/>
      <x:c r="CC19" s="26"/>
      <x:c r="CD19" s="26"/>
      <x:c r="CE19" s="26"/>
      <x:c r="CF19" s="26"/>
      <x:c r="CG19" s="26"/>
      <x:c r="CH19" s="26"/>
      <x:c r="CI19" s="26"/>
      <x:c r="CJ19" s="26"/>
      <x:c r="CK19" s="26"/>
      <x:c r="CL19" s="26"/>
      <x:c r="CM19" s="26"/>
      <x:c r="CN19" s="26"/>
      <x:c r="CO19" s="26"/>
      <x:c r="CP19" s="26"/>
      <x:c r="CQ19" s="26"/>
      <x:c r="CR19" s="26"/>
      <x:c r="CS19" s="26"/>
      <x:c r="CT19" s="26"/>
      <x:c r="CU19" s="26"/>
      <x:c r="CV19" s="26"/>
      <x:c r="CW19" s="26"/>
      <x:c r="CX19" s="26"/>
      <x:c r="CY19" s="26"/>
      <x:c r="CZ19" s="26"/>
      <x:c r="DA19" s="26"/>
      <x:c r="DB19" s="26"/>
      <x:c r="DC19" s="26"/>
      <x:c r="DD19" s="26"/>
      <x:c r="DE19" s="26"/>
      <x:c r="DF19" s="26"/>
      <x:c r="DG19" s="26"/>
    </x:row>
    <x:row r="20" ht="18" customHeight="1"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30"/>
      <x:c r="AI20" s="30"/>
      <x:c r="AJ20" s="30"/>
      <x:c r="AK20" s="30"/>
      <x:c r="AL20" s="30"/>
      <x:c r="AM20" s="30"/>
      <x:c r="AN20" s="30"/>
      <x:c r="AO20" s="30"/>
      <x:c r="AQ20" s="30"/>
      <x:c r="AR20" s="30"/>
      <x:c r="AS20" s="30"/>
      <x:c r="AT20" s="30"/>
      <x:c r="AU20" s="30"/>
      <x:c r="AV20" s="30"/>
      <x:c r="AW20" s="30"/>
      <x:c r="AX20" s="30"/>
      <x:c r="AY20" s="30"/>
      <x:c r="AZ20" s="30"/>
      <x:c r="BA20" s="30"/>
      <x:c r="BB20" s="30"/>
      <x:c r="BC20" s="30"/>
      <x:c r="BD20" s="30"/>
      <x:c r="BE20" s="30"/>
      <x:c r="BF20" s="30"/>
      <x:c r="BG20" s="30"/>
      <x:c r="BH20" s="30"/>
      <x:c r="BI20" s="30"/>
      <x:c r="BJ20" s="30"/>
      <x:c r="BK20" s="30"/>
      <x:c r="BL20" s="30"/>
      <x:c r="BM20" s="30"/>
      <x:c r="BN20" s="30"/>
      <x:c r="BO20" s="30"/>
      <x:c r="BP20" s="30"/>
      <x:c r="BQ20" s="30"/>
      <x:c r="BR20" s="30"/>
      <x:c r="BS20" s="30"/>
      <x:c r="BT20" s="30"/>
      <x:c r="BU20" s="30"/>
      <x:c r="BV20" s="30"/>
      <x:c r="BW20" s="30"/>
      <x:c r="BX20" s="30"/>
      <x:c r="BY20" s="30"/>
      <x:c r="BZ20" s="30"/>
      <x:c r="CA20" s="30"/>
      <x:c r="CB20" s="30"/>
      <x:c r="CC20" s="30"/>
      <x:c r="CD20" s="30"/>
      <x:c r="CE20" s="30"/>
      <x:c r="CF20" s="30"/>
      <x:c r="CG20" s="30"/>
      <x:c r="CH20" s="30"/>
      <x:c r="CI20" s="30"/>
      <x:c r="CJ20" s="30"/>
      <x:c r="CK20" s="30"/>
      <x:c r="CL20" s="30"/>
      <x:c r="CM20" s="30"/>
      <x:c r="CN20" s="30"/>
      <x:c r="CO20" s="30"/>
      <x:c r="CP20" s="30"/>
      <x:c r="CQ20" s="30"/>
      <x:c r="CR20" s="30"/>
      <x:c r="CS20" s="30"/>
      <x:c r="CT20" s="30"/>
      <x:c r="CU20" s="30"/>
      <x:c r="CV20" s="30"/>
      <x:c r="CW20" s="30"/>
      <x:c r="CX20" s="30"/>
      <x:c r="CY20" s="30"/>
      <x:c r="CZ20" s="30"/>
      <x:c r="DA20" s="30"/>
      <x:c r="DB20" s="30"/>
      <x:c r="DC20" s="30"/>
      <x:c r="DD20" s="30"/>
      <x:c r="DE20" s="30"/>
      <x:c r="DF20" s="30"/>
      <x:c r="DG20" s="30"/>
    </x:row>
    <x:row r="21" ht="18" customHeight="1"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  <x:c r="AA21" s="26"/>
      <x:c r="AB21" s="26"/>
      <x:c r="AC21" s="26"/>
      <x:c r="AD21" s="26"/>
      <x:c r="AE21" s="26"/>
      <x:c r="AF21" s="26"/>
      <x:c r="AG21" s="26"/>
      <x:c r="AH21" s="26"/>
      <x:c r="AI21" s="26"/>
      <x:c r="AJ21" s="26"/>
      <x:c r="AK21" s="26"/>
      <x:c r="AL21" s="26"/>
      <x:c r="AM21" s="26"/>
      <x:c r="AN21" s="26"/>
      <x:c r="AO21" s="26"/>
      <x:c r="AQ21" s="26"/>
      <x:c r="AR21" s="26"/>
      <x:c r="AS21" s="26"/>
      <x:c r="AT21" s="26"/>
      <x:c r="AU21" s="26"/>
      <x:c r="AV21" s="26"/>
      <x:c r="AW21" s="26"/>
      <x:c r="AX21" s="26"/>
      <x:c r="AY21" s="26"/>
      <x:c r="AZ21" s="26"/>
      <x:c r="BA21" s="26"/>
      <x:c r="BB21" s="26"/>
      <x:c r="BC21" s="26"/>
      <x:c r="BD21" s="26"/>
      <x:c r="BE21" s="26"/>
      <x:c r="BF21" s="26"/>
      <x:c r="BG21" s="26"/>
      <x:c r="BH21" s="26"/>
      <x:c r="BI21" s="26"/>
      <x:c r="BJ21" s="26"/>
      <x:c r="BK21" s="26"/>
      <x:c r="BL21" s="26"/>
      <x:c r="BM21" s="26"/>
      <x:c r="BN21" s="26"/>
      <x:c r="BO21" s="26"/>
      <x:c r="BP21" s="26"/>
      <x:c r="BQ21" s="26"/>
      <x:c r="BR21" s="26"/>
      <x:c r="BS21" s="26"/>
      <x:c r="BT21" s="26"/>
      <x:c r="BU21" s="26"/>
      <x:c r="BV21" s="26"/>
      <x:c r="BW21" s="26"/>
      <x:c r="BX21" s="26"/>
      <x:c r="BY21" s="26"/>
      <x:c r="BZ21" s="26"/>
      <x:c r="CA21" s="26"/>
      <x:c r="CB21" s="26"/>
      <x:c r="CC21" s="26"/>
      <x:c r="CD21" s="26"/>
      <x:c r="CE21" s="26"/>
      <x:c r="CF21" s="26"/>
      <x:c r="CG21" s="26"/>
      <x:c r="CH21" s="26"/>
      <x:c r="CI21" s="26"/>
      <x:c r="CJ21" s="26"/>
      <x:c r="CK21" s="26"/>
      <x:c r="CL21" s="26"/>
      <x:c r="CM21" s="26"/>
      <x:c r="CN21" s="26"/>
      <x:c r="CO21" s="26"/>
      <x:c r="CP21" s="26"/>
      <x:c r="CQ21" s="26"/>
      <x:c r="CR21" s="26"/>
      <x:c r="CS21" s="26"/>
      <x:c r="CT21" s="26"/>
      <x:c r="CU21" s="26"/>
      <x:c r="CV21" s="26"/>
      <x:c r="CW21" s="26"/>
      <x:c r="CX21" s="26"/>
      <x:c r="CY21" s="26"/>
      <x:c r="CZ21" s="26"/>
      <x:c r="DA21" s="26"/>
      <x:c r="DB21" s="26"/>
      <x:c r="DC21" s="26"/>
      <x:c r="DD21" s="26"/>
      <x:c r="DE21" s="26"/>
      <x:c r="DF21" s="26"/>
      <x:c r="DG21" s="26"/>
    </x:row>
    <x:row r="22" ht="18" customHeight="1"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30"/>
      <x:c r="AI22" s="30"/>
      <x:c r="AJ22" s="30"/>
      <x:c r="AK22" s="30"/>
      <x:c r="AL22" s="30"/>
      <x:c r="AM22" s="30"/>
      <x:c r="AN22" s="30"/>
      <x:c r="AO22" s="30"/>
      <x:c r="AQ22" s="30"/>
      <x:c r="AR22" s="30"/>
      <x:c r="AS22" s="30"/>
      <x:c r="AT22" s="30"/>
      <x:c r="AU22" s="30"/>
      <x:c r="AV22" s="30"/>
      <x:c r="AW22" s="30"/>
      <x:c r="AX22" s="30"/>
      <x:c r="AY22" s="30"/>
      <x:c r="AZ22" s="30"/>
      <x:c r="BA22" s="30"/>
      <x:c r="BB22" s="30"/>
      <x:c r="BC22" s="30"/>
      <x:c r="BD22" s="30"/>
      <x:c r="BE22" s="30"/>
      <x:c r="BF22" s="30"/>
      <x:c r="BG22" s="30"/>
      <x:c r="BH22" s="30"/>
      <x:c r="BI22" s="30"/>
      <x:c r="BJ22" s="30"/>
      <x:c r="BK22" s="30"/>
      <x:c r="BL22" s="30"/>
      <x:c r="BM22" s="30"/>
      <x:c r="BN22" s="30"/>
      <x:c r="BO22" s="30"/>
      <x:c r="BP22" s="30"/>
      <x:c r="BQ22" s="30"/>
      <x:c r="BR22" s="30"/>
      <x:c r="BS22" s="30"/>
      <x:c r="BT22" s="30"/>
      <x:c r="BU22" s="30"/>
      <x:c r="BV22" s="30"/>
      <x:c r="BW22" s="30"/>
      <x:c r="BX22" s="30"/>
      <x:c r="BY22" s="30"/>
      <x:c r="BZ22" s="30"/>
      <x:c r="CA22" s="30"/>
      <x:c r="CB22" s="30"/>
      <x:c r="CC22" s="30"/>
      <x:c r="CD22" s="30"/>
      <x:c r="CE22" s="30"/>
      <x:c r="CF22" s="30"/>
      <x:c r="CG22" s="30"/>
      <x:c r="CH22" s="30"/>
      <x:c r="CI22" s="30"/>
      <x:c r="CJ22" s="30"/>
      <x:c r="CK22" s="30"/>
      <x:c r="CL22" s="30"/>
      <x:c r="CM22" s="30"/>
      <x:c r="CN22" s="30"/>
      <x:c r="CO22" s="30"/>
      <x:c r="CP22" s="30"/>
      <x:c r="CQ22" s="30"/>
      <x:c r="CR22" s="30"/>
      <x:c r="CS22" s="30"/>
      <x:c r="CT22" s="30"/>
      <x:c r="CU22" s="30"/>
      <x:c r="CV22" s="30"/>
      <x:c r="CW22" s="30"/>
      <x:c r="CX22" s="30"/>
      <x:c r="CY22" s="30"/>
      <x:c r="CZ22" s="30"/>
      <x:c r="DA22" s="30"/>
      <x:c r="DB22" s="30"/>
      <x:c r="DC22" s="30"/>
      <x:c r="DD22" s="30"/>
      <x:c r="DE22" s="30"/>
      <x:c r="DF22" s="30"/>
      <x:c r="DG22" s="30"/>
    </x:row>
    <x:row r="23" ht="18" customHeight="1"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  <x:c r="AA23" s="26"/>
      <x:c r="AB23" s="26"/>
      <x:c r="AC23" s="26"/>
      <x:c r="AD23" s="26"/>
      <x:c r="AE23" s="26"/>
      <x:c r="AF23" s="26"/>
      <x:c r="AG23" s="26"/>
      <x:c r="AH23" s="26"/>
      <x:c r="AI23" s="26"/>
      <x:c r="AJ23" s="26"/>
      <x:c r="AK23" s="26"/>
      <x:c r="AL23" s="26"/>
      <x:c r="AM23" s="26"/>
      <x:c r="AN23" s="26"/>
      <x:c r="AO23" s="26"/>
      <x:c r="AQ23" s="26"/>
      <x:c r="AR23" s="26"/>
      <x:c r="AS23" s="26"/>
      <x:c r="AT23" s="26"/>
      <x:c r="AU23" s="26"/>
      <x:c r="AV23" s="26"/>
      <x:c r="AW23" s="26"/>
      <x:c r="AX23" s="26"/>
      <x:c r="AY23" s="26"/>
      <x:c r="AZ23" s="26"/>
      <x:c r="BA23" s="26"/>
      <x:c r="BB23" s="26"/>
      <x:c r="BC23" s="26"/>
      <x:c r="BD23" s="26"/>
      <x:c r="BE23" s="26"/>
      <x:c r="BF23" s="26"/>
      <x:c r="BG23" s="26"/>
      <x:c r="BH23" s="26"/>
      <x:c r="BI23" s="26"/>
      <x:c r="BJ23" s="26"/>
      <x:c r="BK23" s="26"/>
      <x:c r="BL23" s="26"/>
      <x:c r="BM23" s="26"/>
      <x:c r="BN23" s="26"/>
      <x:c r="BO23" s="26"/>
      <x:c r="BP23" s="26"/>
      <x:c r="BQ23" s="26"/>
      <x:c r="BR23" s="26"/>
      <x:c r="BS23" s="26"/>
      <x:c r="BT23" s="26"/>
      <x:c r="BU23" s="26"/>
      <x:c r="BV23" s="26"/>
      <x:c r="BW23" s="26"/>
      <x:c r="BX23" s="26"/>
      <x:c r="BY23" s="26"/>
      <x:c r="BZ23" s="26"/>
      <x:c r="CA23" s="26"/>
      <x:c r="CB23" s="26"/>
      <x:c r="CC23" s="26"/>
      <x:c r="CD23" s="26"/>
      <x:c r="CE23" s="26"/>
      <x:c r="CF23" s="26"/>
      <x:c r="CG23" s="26"/>
      <x:c r="CH23" s="26"/>
      <x:c r="CI23" s="26"/>
      <x:c r="CJ23" s="26"/>
      <x:c r="CK23" s="26"/>
      <x:c r="CL23" s="26"/>
      <x:c r="CM23" s="26"/>
      <x:c r="CN23" s="26"/>
      <x:c r="CO23" s="26"/>
      <x:c r="CP23" s="26"/>
      <x:c r="CQ23" s="26"/>
      <x:c r="CR23" s="26"/>
      <x:c r="CS23" s="26"/>
      <x:c r="CT23" s="26"/>
      <x:c r="CU23" s="26"/>
      <x:c r="CV23" s="26"/>
      <x:c r="CW23" s="26"/>
      <x:c r="CX23" s="26"/>
      <x:c r="CY23" s="26"/>
      <x:c r="CZ23" s="26"/>
      <x:c r="DA23" s="26"/>
      <x:c r="DB23" s="26"/>
      <x:c r="DC23" s="26"/>
      <x:c r="DD23" s="26"/>
      <x:c r="DE23" s="26"/>
      <x:c r="DF23" s="26"/>
      <x:c r="DG23" s="26"/>
    </x:row>
    <x:row r="24" ht="18" customHeight="1"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30"/>
      <x:c r="AI24" s="30"/>
      <x:c r="AJ24" s="30"/>
      <x:c r="AK24" s="30"/>
      <x:c r="AL24" s="30"/>
      <x:c r="AM24" s="30"/>
      <x:c r="AN24" s="30"/>
      <x:c r="AO24" s="30"/>
      <x:c r="AQ24" s="30"/>
      <x:c r="AR24" s="30"/>
      <x:c r="AS24" s="30"/>
      <x:c r="AT24" s="30"/>
      <x:c r="AU24" s="30"/>
      <x:c r="AV24" s="30"/>
      <x:c r="AW24" s="30"/>
      <x:c r="AX24" s="30"/>
      <x:c r="AY24" s="30"/>
      <x:c r="AZ24" s="30"/>
      <x:c r="BA24" s="30"/>
      <x:c r="BB24" s="30"/>
      <x:c r="BC24" s="30"/>
      <x:c r="BD24" s="30"/>
      <x:c r="BE24" s="30"/>
      <x:c r="BF24" s="30"/>
      <x:c r="BG24" s="30"/>
      <x:c r="BH24" s="30"/>
      <x:c r="BI24" s="30"/>
      <x:c r="BJ24" s="30"/>
      <x:c r="BK24" s="30"/>
      <x:c r="BL24" s="30"/>
      <x:c r="BM24" s="30"/>
      <x:c r="BN24" s="30"/>
      <x:c r="BO24" s="30"/>
      <x:c r="BP24" s="30"/>
      <x:c r="BQ24" s="30"/>
      <x:c r="BR24" s="30"/>
      <x:c r="BS24" s="30"/>
      <x:c r="BT24" s="30"/>
      <x:c r="BU24" s="30"/>
      <x:c r="BV24" s="30"/>
      <x:c r="BW24" s="30"/>
      <x:c r="BX24" s="30"/>
      <x:c r="BY24" s="30"/>
      <x:c r="BZ24" s="30"/>
      <x:c r="CA24" s="30"/>
      <x:c r="CB24" s="30"/>
      <x:c r="CC24" s="30"/>
      <x:c r="CD24" s="30"/>
      <x:c r="CE24" s="30"/>
      <x:c r="CF24" s="30"/>
      <x:c r="CG24" s="30"/>
      <x:c r="CH24" s="30"/>
      <x:c r="CI24" s="30"/>
      <x:c r="CJ24" s="30"/>
      <x:c r="CK24" s="30"/>
      <x:c r="CL24" s="30"/>
      <x:c r="CM24" s="30"/>
      <x:c r="CN24" s="30"/>
      <x:c r="CO24" s="30"/>
      <x:c r="CP24" s="30"/>
      <x:c r="CQ24" s="30"/>
      <x:c r="CR24" s="30"/>
      <x:c r="CS24" s="30"/>
      <x:c r="CT24" s="30"/>
      <x:c r="CU24" s="30"/>
      <x:c r="CV24" s="30"/>
      <x:c r="CW24" s="30"/>
      <x:c r="CX24" s="30"/>
      <x:c r="CY24" s="30"/>
      <x:c r="CZ24" s="30"/>
      <x:c r="DA24" s="30"/>
      <x:c r="DB24" s="30"/>
      <x:c r="DC24" s="30"/>
      <x:c r="DD24" s="30"/>
      <x:c r="DE24" s="30"/>
      <x:c r="DF24" s="30"/>
      <x:c r="DG24" s="30"/>
    </x:row>
    <x:row r="25" ht="18" customHeight="1"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  <x:c r="AA25" s="26"/>
      <x:c r="AB25" s="26"/>
      <x:c r="AC25" s="26"/>
      <x:c r="AD25" s="26"/>
      <x:c r="AE25" s="26"/>
      <x:c r="AF25" s="26"/>
      <x:c r="AG25" s="26"/>
      <x:c r="AH25" s="26"/>
      <x:c r="AI25" s="26"/>
      <x:c r="AJ25" s="26"/>
      <x:c r="AK25" s="26"/>
      <x:c r="AL25" s="26"/>
      <x:c r="AM25" s="26"/>
      <x:c r="AN25" s="26"/>
      <x:c r="AO25" s="26"/>
      <x:c r="AQ25" s="26"/>
      <x:c r="AR25" s="26"/>
      <x:c r="AS25" s="26"/>
      <x:c r="AT25" s="26"/>
      <x:c r="AU25" s="26"/>
      <x:c r="AV25" s="26"/>
      <x:c r="AW25" s="26"/>
      <x:c r="AX25" s="26"/>
      <x:c r="AY25" s="26"/>
      <x:c r="AZ25" s="26"/>
      <x:c r="BA25" s="26"/>
      <x:c r="BB25" s="26"/>
      <x:c r="BC25" s="26"/>
      <x:c r="BD25" s="26"/>
      <x:c r="BE25" s="26"/>
      <x:c r="BF25" s="26"/>
      <x:c r="BG25" s="26"/>
      <x:c r="BH25" s="26"/>
      <x:c r="BI25" s="26"/>
      <x:c r="BJ25" s="26"/>
      <x:c r="BK25" s="26"/>
      <x:c r="BL25" s="26"/>
      <x:c r="BM25" s="26"/>
      <x:c r="BN25" s="26"/>
      <x:c r="BO25" s="26"/>
      <x:c r="BP25" s="26"/>
      <x:c r="BQ25" s="26"/>
      <x:c r="BR25" s="26"/>
      <x:c r="BS25" s="26"/>
      <x:c r="BT25" s="26"/>
      <x:c r="BU25" s="26"/>
      <x:c r="BV25" s="26"/>
      <x:c r="BW25" s="26"/>
      <x:c r="BX25" s="26"/>
      <x:c r="BY25" s="26"/>
      <x:c r="BZ25" s="26"/>
      <x:c r="CA25" s="26"/>
      <x:c r="CB25" s="26"/>
      <x:c r="CC25" s="26"/>
      <x:c r="CD25" s="26"/>
      <x:c r="CE25" s="26"/>
      <x:c r="CF25" s="26"/>
      <x:c r="CG25" s="26"/>
      <x:c r="CH25" s="26"/>
      <x:c r="CI25" s="26"/>
      <x:c r="CJ25" s="26"/>
      <x:c r="CK25" s="26"/>
      <x:c r="CL25" s="26"/>
      <x:c r="CM25" s="26"/>
      <x:c r="CN25" s="26"/>
      <x:c r="CO25" s="26"/>
      <x:c r="CP25" s="26"/>
      <x:c r="CQ25" s="26"/>
      <x:c r="CR25" s="26"/>
      <x:c r="CS25" s="26"/>
      <x:c r="CT25" s="26"/>
      <x:c r="CU25" s="26"/>
      <x:c r="CV25" s="26"/>
      <x:c r="CW25" s="26"/>
      <x:c r="CX25" s="26"/>
      <x:c r="CY25" s="26"/>
      <x:c r="CZ25" s="26"/>
      <x:c r="DA25" s="26"/>
      <x:c r="DB25" s="26"/>
      <x:c r="DC25" s="26"/>
      <x:c r="DD25" s="26"/>
      <x:c r="DE25" s="26"/>
      <x:c r="DF25" s="26"/>
      <x:c r="DG25" s="26"/>
    </x:row>
    <x:row r="26" ht="18" customHeight="1"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30"/>
      <x:c r="AI26" s="30"/>
      <x:c r="AJ26" s="30"/>
      <x:c r="AK26" s="30"/>
      <x:c r="AL26" s="30"/>
      <x:c r="AM26" s="30"/>
      <x:c r="AN26" s="30"/>
      <x:c r="AO26" s="30"/>
      <x:c r="AQ26" s="30"/>
      <x:c r="AR26" s="30"/>
      <x:c r="AS26" s="30"/>
      <x:c r="AT26" s="30"/>
      <x:c r="AU26" s="30"/>
      <x:c r="AV26" s="30"/>
      <x:c r="AW26" s="30"/>
      <x:c r="AX26" s="30"/>
      <x:c r="AY26" s="30"/>
      <x:c r="AZ26" s="30"/>
      <x:c r="BA26" s="30"/>
      <x:c r="BB26" s="30"/>
      <x:c r="BC26" s="30"/>
      <x:c r="BD26" s="30"/>
      <x:c r="BE26" s="30"/>
      <x:c r="BF26" s="30"/>
      <x:c r="BG26" s="30"/>
      <x:c r="BH26" s="30"/>
      <x:c r="BI26" s="30"/>
      <x:c r="BJ26" s="30"/>
      <x:c r="BK26" s="30"/>
      <x:c r="BL26" s="30"/>
      <x:c r="BM26" s="30"/>
      <x:c r="BN26" s="30"/>
      <x:c r="BO26" s="30"/>
      <x:c r="BP26" s="30"/>
      <x:c r="BQ26" s="30"/>
      <x:c r="BR26" s="30"/>
      <x:c r="BS26" s="30"/>
      <x:c r="BT26" s="30"/>
      <x:c r="BU26" s="30"/>
      <x:c r="BV26" s="30"/>
      <x:c r="BW26" s="30"/>
      <x:c r="BX26" s="30"/>
      <x:c r="BY26" s="30"/>
      <x:c r="BZ26" s="30"/>
      <x:c r="CA26" s="30"/>
      <x:c r="CB26" s="30"/>
      <x:c r="CC26" s="30"/>
      <x:c r="CD26" s="30"/>
      <x:c r="CE26" s="30"/>
      <x:c r="CF26" s="30"/>
      <x:c r="CG26" s="30"/>
      <x:c r="CH26" s="30"/>
      <x:c r="CI26" s="30"/>
      <x:c r="CJ26" s="30"/>
      <x:c r="CK26" s="30"/>
      <x:c r="CL26" s="30"/>
      <x:c r="CM26" s="30"/>
      <x:c r="CN26" s="30"/>
      <x:c r="CO26" s="30"/>
      <x:c r="CP26" s="30"/>
      <x:c r="CQ26" s="30"/>
      <x:c r="CR26" s="30"/>
      <x:c r="CS26" s="30"/>
      <x:c r="CT26" s="30"/>
      <x:c r="CU26" s="30"/>
      <x:c r="CV26" s="30"/>
      <x:c r="CW26" s="30"/>
      <x:c r="CX26" s="30"/>
      <x:c r="CY26" s="30"/>
      <x:c r="CZ26" s="30"/>
      <x:c r="DA26" s="30"/>
      <x:c r="DB26" s="30"/>
      <x:c r="DC26" s="30"/>
      <x:c r="DD26" s="30"/>
      <x:c r="DE26" s="30"/>
      <x:c r="DF26" s="30"/>
      <x:c r="DG26" s="30"/>
    </x:row>
    <x:row r="27" ht="18" customHeight="1"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  <x:c r="AA27" s="26"/>
      <x:c r="AB27" s="26"/>
      <x:c r="AC27" s="26"/>
      <x:c r="AD27" s="26"/>
      <x:c r="AE27" s="26"/>
      <x:c r="AF27" s="26"/>
      <x:c r="AG27" s="26"/>
      <x:c r="AH27" s="26"/>
      <x:c r="AI27" s="26"/>
      <x:c r="AJ27" s="26"/>
      <x:c r="AK27" s="26"/>
      <x:c r="AL27" s="26"/>
      <x:c r="AM27" s="26"/>
      <x:c r="AN27" s="26"/>
      <x:c r="AO27" s="26"/>
      <x:c r="AQ27" s="26"/>
      <x:c r="AR27" s="26"/>
      <x:c r="AS27" s="26"/>
      <x:c r="AT27" s="26"/>
      <x:c r="AU27" s="26"/>
      <x:c r="AV27" s="26"/>
      <x:c r="AW27" s="26"/>
      <x:c r="AX27" s="26"/>
      <x:c r="AY27" s="26"/>
      <x:c r="AZ27" s="26"/>
      <x:c r="BA27" s="26"/>
      <x:c r="BB27" s="26"/>
      <x:c r="BC27" s="26"/>
      <x:c r="BD27" s="26"/>
      <x:c r="BE27" s="26"/>
      <x:c r="BF27" s="26"/>
      <x:c r="BG27" s="26"/>
      <x:c r="BH27" s="26"/>
      <x:c r="BI27" s="26"/>
      <x:c r="BJ27" s="26"/>
      <x:c r="BK27" s="26"/>
      <x:c r="BL27" s="26"/>
      <x:c r="BM27" s="26"/>
      <x:c r="BN27" s="26"/>
      <x:c r="BO27" s="26"/>
      <x:c r="BP27" s="26"/>
      <x:c r="BQ27" s="26"/>
      <x:c r="BR27" s="26"/>
      <x:c r="BS27" s="26"/>
      <x:c r="BT27" s="26"/>
      <x:c r="BU27" s="26"/>
      <x:c r="BV27" s="26"/>
      <x:c r="BW27" s="26"/>
      <x:c r="BX27" s="26"/>
      <x:c r="BY27" s="26"/>
      <x:c r="BZ27" s="26"/>
      <x:c r="CA27" s="26"/>
      <x:c r="CB27" s="26"/>
      <x:c r="CC27" s="26"/>
      <x:c r="CD27" s="26"/>
      <x:c r="CE27" s="26"/>
      <x:c r="CF27" s="26"/>
      <x:c r="CG27" s="26"/>
      <x:c r="CH27" s="26"/>
      <x:c r="CI27" s="26"/>
      <x:c r="CJ27" s="26"/>
      <x:c r="CK27" s="26"/>
      <x:c r="CL27" s="26"/>
      <x:c r="CM27" s="26"/>
      <x:c r="CN27" s="26"/>
      <x:c r="CO27" s="26"/>
      <x:c r="CP27" s="26"/>
      <x:c r="CQ27" s="26"/>
      <x:c r="CR27" s="26"/>
      <x:c r="CS27" s="26"/>
      <x:c r="CT27" s="26"/>
      <x:c r="CU27" s="26"/>
      <x:c r="CV27" s="26"/>
      <x:c r="CW27" s="26"/>
      <x:c r="CX27" s="26"/>
      <x:c r="CY27" s="26"/>
      <x:c r="CZ27" s="26"/>
      <x:c r="DA27" s="26"/>
      <x:c r="DB27" s="26"/>
      <x:c r="DC27" s="26"/>
      <x:c r="DD27" s="26"/>
      <x:c r="DE27" s="26"/>
      <x:c r="DF27" s="26"/>
      <x:c r="DG27" s="26"/>
    </x:row>
    <x:row r="28" ht="18" customHeight="1"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30"/>
      <x:c r="AI28" s="30"/>
      <x:c r="AJ28" s="30"/>
      <x:c r="AK28" s="30"/>
      <x:c r="AL28" s="30"/>
      <x:c r="AM28" s="30"/>
      <x:c r="AN28" s="30"/>
      <x:c r="AO28" s="30"/>
      <x:c r="AQ28" s="30"/>
      <x:c r="AR28" s="30"/>
      <x:c r="AS28" s="30"/>
      <x:c r="AT28" s="30"/>
      <x:c r="AU28" s="30"/>
      <x:c r="AV28" s="30"/>
      <x:c r="AW28" s="30"/>
      <x:c r="AX28" s="30"/>
      <x:c r="AY28" s="30"/>
      <x:c r="AZ28" s="30"/>
      <x:c r="BA28" s="30"/>
      <x:c r="BB28" s="30"/>
      <x:c r="BC28" s="30"/>
      <x:c r="BD28" s="30"/>
      <x:c r="BE28" s="30"/>
      <x:c r="BF28" s="30"/>
      <x:c r="BG28" s="30"/>
      <x:c r="BH28" s="30"/>
      <x:c r="BI28" s="30"/>
      <x:c r="BJ28" s="30"/>
      <x:c r="BK28" s="30"/>
      <x:c r="BL28" s="30"/>
      <x:c r="BM28" s="30"/>
      <x:c r="BN28" s="30"/>
      <x:c r="BO28" s="30"/>
      <x:c r="BP28" s="30"/>
      <x:c r="BQ28" s="30"/>
      <x:c r="BR28" s="30"/>
      <x:c r="BS28" s="30"/>
      <x:c r="BT28" s="30"/>
      <x:c r="BU28" s="30"/>
      <x:c r="BV28" s="30"/>
      <x:c r="BW28" s="30"/>
      <x:c r="BX28" s="30"/>
      <x:c r="BY28" s="30"/>
      <x:c r="BZ28" s="30"/>
      <x:c r="CA28" s="30"/>
      <x:c r="CB28" s="30"/>
      <x:c r="CC28" s="30"/>
      <x:c r="CD28" s="30"/>
      <x:c r="CE28" s="30"/>
      <x:c r="CF28" s="30"/>
      <x:c r="CG28" s="30"/>
      <x:c r="CH28" s="30"/>
      <x:c r="CI28" s="30"/>
      <x:c r="CJ28" s="30"/>
      <x:c r="CK28" s="30"/>
      <x:c r="CL28" s="30"/>
      <x:c r="CM28" s="30"/>
      <x:c r="CN28" s="30"/>
      <x:c r="CO28" s="30"/>
      <x:c r="CP28" s="30"/>
      <x:c r="CQ28" s="30"/>
      <x:c r="CR28" s="30"/>
      <x:c r="CS28" s="30"/>
      <x:c r="CT28" s="30"/>
      <x:c r="CU28" s="30"/>
      <x:c r="CV28" s="30"/>
      <x:c r="CW28" s="30"/>
      <x:c r="CX28" s="30"/>
      <x:c r="CY28" s="30"/>
      <x:c r="CZ28" s="30"/>
      <x:c r="DA28" s="30"/>
      <x:c r="DB28" s="30"/>
      <x:c r="DC28" s="30"/>
      <x:c r="DD28" s="30"/>
      <x:c r="DE28" s="30"/>
      <x:c r="DF28" s="30"/>
      <x:c r="DG28" s="30"/>
    </x:row>
    <x:row r="29" ht="18" customHeight="1"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  <x:c r="AA29" s="26"/>
      <x:c r="AB29" s="26"/>
      <x:c r="AC29" s="26"/>
      <x:c r="AD29" s="26"/>
      <x:c r="AE29" s="26"/>
      <x:c r="AF29" s="26"/>
      <x:c r="AG29" s="26"/>
      <x:c r="AH29" s="26"/>
      <x:c r="AI29" s="26"/>
      <x:c r="AJ29" s="26"/>
      <x:c r="AK29" s="26"/>
      <x:c r="AL29" s="26"/>
      <x:c r="AM29" s="26"/>
      <x:c r="AN29" s="26"/>
      <x:c r="AO29" s="26"/>
      <x:c r="AQ29" s="26"/>
      <x:c r="AR29" s="26"/>
      <x:c r="AS29" s="26"/>
      <x:c r="AT29" s="26"/>
      <x:c r="AU29" s="26"/>
      <x:c r="AV29" s="26"/>
      <x:c r="AW29" s="26"/>
      <x:c r="AX29" s="26"/>
      <x:c r="AY29" s="26"/>
      <x:c r="AZ29" s="26"/>
      <x:c r="BA29" s="26"/>
      <x:c r="BB29" s="26"/>
      <x:c r="BC29" s="26"/>
      <x:c r="BD29" s="26"/>
      <x:c r="BE29" s="26"/>
      <x:c r="BF29" s="26"/>
      <x:c r="BG29" s="26"/>
      <x:c r="BH29" s="26"/>
      <x:c r="BI29" s="26"/>
      <x:c r="BJ29" s="26"/>
      <x:c r="BK29" s="26"/>
      <x:c r="BL29" s="26"/>
      <x:c r="BM29" s="26"/>
      <x:c r="BN29" s="26"/>
      <x:c r="BO29" s="26"/>
      <x:c r="BP29" s="26"/>
      <x:c r="BQ29" s="26"/>
      <x:c r="BR29" s="26"/>
      <x:c r="BS29" s="26"/>
      <x:c r="BT29" s="26"/>
      <x:c r="BU29" s="26"/>
      <x:c r="BV29" s="26"/>
      <x:c r="BW29" s="26"/>
      <x:c r="BX29" s="26"/>
      <x:c r="BY29" s="26"/>
      <x:c r="BZ29" s="26"/>
      <x:c r="CA29" s="26"/>
      <x:c r="CB29" s="26"/>
      <x:c r="CC29" s="26"/>
      <x:c r="CD29" s="26"/>
      <x:c r="CE29" s="26"/>
      <x:c r="CF29" s="26"/>
      <x:c r="CG29" s="26"/>
      <x:c r="CH29" s="26"/>
      <x:c r="CI29" s="26"/>
      <x:c r="CJ29" s="26"/>
      <x:c r="CK29" s="26"/>
      <x:c r="CL29" s="26"/>
      <x:c r="CM29" s="26"/>
      <x:c r="CN29" s="26"/>
      <x:c r="CO29" s="26"/>
      <x:c r="CP29" s="26"/>
      <x:c r="CQ29" s="26"/>
      <x:c r="CR29" s="26"/>
      <x:c r="CS29" s="26"/>
      <x:c r="CT29" s="26"/>
      <x:c r="CU29" s="26"/>
      <x:c r="CV29" s="26"/>
      <x:c r="CW29" s="26"/>
      <x:c r="CX29" s="26"/>
      <x:c r="CY29" s="26"/>
      <x:c r="CZ29" s="26"/>
      <x:c r="DA29" s="26"/>
      <x:c r="DB29" s="26"/>
      <x:c r="DC29" s="26"/>
      <x:c r="DD29" s="26"/>
      <x:c r="DE29" s="26"/>
      <x:c r="DF29" s="26"/>
      <x:c r="DG29" s="26"/>
    </x:row>
    <x:row r="30" ht="18" customHeight="1"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30"/>
      <x:c r="AI30" s="30"/>
      <x:c r="AJ30" s="30"/>
      <x:c r="AK30" s="30"/>
      <x:c r="AL30" s="30"/>
      <x:c r="AM30" s="30"/>
      <x:c r="AN30" s="30"/>
      <x:c r="AO30" s="30"/>
      <x:c r="AQ30" s="30"/>
      <x:c r="AR30" s="30"/>
      <x:c r="AS30" s="30"/>
      <x:c r="AT30" s="30"/>
      <x:c r="AU30" s="30"/>
      <x:c r="AV30" s="30"/>
      <x:c r="AW30" s="30"/>
      <x:c r="AX30" s="30"/>
      <x:c r="AY30" s="30"/>
      <x:c r="AZ30" s="30"/>
      <x:c r="BA30" s="30"/>
      <x:c r="BB30" s="30"/>
      <x:c r="BC30" s="30"/>
      <x:c r="BD30" s="30"/>
      <x:c r="BE30" s="30"/>
      <x:c r="BF30" s="30"/>
      <x:c r="BG30" s="30"/>
      <x:c r="BH30" s="30"/>
      <x:c r="BI30" s="30"/>
      <x:c r="BJ30" s="30"/>
      <x:c r="BK30" s="30"/>
      <x:c r="BL30" s="30"/>
      <x:c r="BM30" s="30"/>
      <x:c r="BN30" s="30"/>
      <x:c r="BO30" s="30"/>
      <x:c r="BP30" s="30"/>
      <x:c r="BQ30" s="30"/>
      <x:c r="BR30" s="30"/>
      <x:c r="BS30" s="30"/>
      <x:c r="BT30" s="30"/>
      <x:c r="BU30" s="30"/>
      <x:c r="BV30" s="30"/>
      <x:c r="BW30" s="30"/>
      <x:c r="BX30" s="30"/>
      <x:c r="BY30" s="30"/>
      <x:c r="BZ30" s="30"/>
      <x:c r="CA30" s="30"/>
      <x:c r="CB30" s="30"/>
      <x:c r="CC30" s="30"/>
      <x:c r="CD30" s="30"/>
      <x:c r="CE30" s="30"/>
      <x:c r="CF30" s="30"/>
      <x:c r="CG30" s="30"/>
      <x:c r="CH30" s="30"/>
      <x:c r="CI30" s="30"/>
      <x:c r="CJ30" s="30"/>
      <x:c r="CK30" s="30"/>
      <x:c r="CL30" s="30"/>
      <x:c r="CM30" s="30"/>
      <x:c r="CN30" s="30"/>
      <x:c r="CO30" s="30"/>
      <x:c r="CP30" s="30"/>
      <x:c r="CQ30" s="30"/>
      <x:c r="CR30" s="30"/>
      <x:c r="CS30" s="30"/>
      <x:c r="CT30" s="30"/>
      <x:c r="CU30" s="30"/>
      <x:c r="CV30" s="30"/>
      <x:c r="CW30" s="30"/>
      <x:c r="CX30" s="30"/>
      <x:c r="CY30" s="30"/>
      <x:c r="CZ30" s="30"/>
      <x:c r="DA30" s="30"/>
      <x:c r="DB30" s="30"/>
      <x:c r="DC30" s="30"/>
      <x:c r="DD30" s="30"/>
      <x:c r="DE30" s="30"/>
      <x:c r="DF30" s="30"/>
      <x:c r="DG30" s="30"/>
    </x:row>
    <x:row r="31" ht="18" customHeight="1"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  <x:c r="AA31" s="26"/>
      <x:c r="AB31" s="26"/>
      <x:c r="AC31" s="26"/>
      <x:c r="AD31" s="26"/>
      <x:c r="AE31" s="26"/>
      <x:c r="AF31" s="26"/>
      <x:c r="AG31" s="26"/>
      <x:c r="AH31" s="26"/>
      <x:c r="AI31" s="26"/>
      <x:c r="AJ31" s="26"/>
      <x:c r="AK31" s="26"/>
      <x:c r="AL31" s="26"/>
      <x:c r="AM31" s="26"/>
      <x:c r="AN31" s="26"/>
      <x:c r="AO31" s="26"/>
      <x:c r="AQ31" s="26"/>
      <x:c r="AR31" s="26"/>
      <x:c r="AS31" s="26"/>
      <x:c r="AT31" s="26"/>
      <x:c r="AU31" s="26"/>
      <x:c r="AV31" s="26"/>
      <x:c r="AW31" s="26"/>
      <x:c r="AX31" s="26"/>
      <x:c r="AY31" s="26"/>
      <x:c r="AZ31" s="26"/>
      <x:c r="BA31" s="26"/>
      <x:c r="BB31" s="26"/>
      <x:c r="BC31" s="26"/>
      <x:c r="BD31" s="26"/>
      <x:c r="BE31" s="26"/>
      <x:c r="BF31" s="26"/>
      <x:c r="BG31" s="26"/>
      <x:c r="BH31" s="26"/>
      <x:c r="BI31" s="26"/>
      <x:c r="BJ31" s="26"/>
      <x:c r="BK31" s="26"/>
      <x:c r="BL31" s="26"/>
      <x:c r="BM31" s="26"/>
      <x:c r="BN31" s="26"/>
      <x:c r="BO31" s="26"/>
      <x:c r="BP31" s="26"/>
      <x:c r="BQ31" s="26"/>
      <x:c r="BR31" s="26"/>
      <x:c r="BS31" s="26"/>
      <x:c r="BT31" s="26"/>
      <x:c r="BU31" s="26"/>
      <x:c r="BV31" s="26"/>
      <x:c r="BW31" s="26"/>
      <x:c r="BX31" s="26"/>
      <x:c r="BY31" s="26"/>
      <x:c r="BZ31" s="26"/>
      <x:c r="CA31" s="26"/>
      <x:c r="CB31" s="26"/>
      <x:c r="CC31" s="26"/>
      <x:c r="CD31" s="26"/>
      <x:c r="CE31" s="26"/>
      <x:c r="CF31" s="26"/>
      <x:c r="CG31" s="26"/>
      <x:c r="CH31" s="26"/>
      <x:c r="CI31" s="26"/>
      <x:c r="CJ31" s="26"/>
      <x:c r="CK31" s="26"/>
      <x:c r="CL31" s="26"/>
      <x:c r="CM31" s="26"/>
      <x:c r="CN31" s="26"/>
      <x:c r="CO31" s="26"/>
      <x:c r="CP31" s="26"/>
      <x:c r="CQ31" s="26"/>
      <x:c r="CR31" s="26"/>
      <x:c r="CS31" s="26"/>
      <x:c r="CT31" s="26"/>
      <x:c r="CU31" s="26"/>
      <x:c r="CV31" s="26"/>
      <x:c r="CW31" s="26"/>
      <x:c r="CX31" s="26"/>
      <x:c r="CY31" s="26"/>
      <x:c r="CZ31" s="26"/>
      <x:c r="DA31" s="26"/>
      <x:c r="DB31" s="26"/>
      <x:c r="DC31" s="26"/>
      <x:c r="DD31" s="26"/>
      <x:c r="DE31" s="26"/>
      <x:c r="DF31" s="26"/>
      <x:c r="DG31" s="26"/>
    </x:row>
    <x:row r="32" ht="18" customHeight="1"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30"/>
      <x:c r="AI32" s="30"/>
      <x:c r="AJ32" s="30"/>
      <x:c r="AK32" s="30"/>
      <x:c r="AL32" s="30"/>
      <x:c r="AM32" s="30"/>
      <x:c r="AN32" s="30"/>
      <x:c r="AO32" s="30"/>
      <x:c r="AQ32" s="30"/>
      <x:c r="AR32" s="30"/>
      <x:c r="AS32" s="30"/>
      <x:c r="AT32" s="30"/>
      <x:c r="AU32" s="30"/>
      <x:c r="AV32" s="30"/>
      <x:c r="AW32" s="30"/>
      <x:c r="AX32" s="30"/>
      <x:c r="AY32" s="30"/>
      <x:c r="AZ32" s="30"/>
      <x:c r="BA32" s="30"/>
      <x:c r="BB32" s="30"/>
      <x:c r="BC32" s="30"/>
      <x:c r="BD32" s="30"/>
      <x:c r="BE32" s="30"/>
      <x:c r="BF32" s="30"/>
      <x:c r="BG32" s="30"/>
      <x:c r="BH32" s="30"/>
      <x:c r="BI32" s="30"/>
      <x:c r="BJ32" s="30"/>
      <x:c r="BK32" s="30"/>
      <x:c r="BL32" s="30"/>
      <x:c r="BM32" s="30"/>
      <x:c r="BN32" s="30"/>
      <x:c r="BO32" s="30"/>
      <x:c r="BP32" s="30"/>
      <x:c r="BQ32" s="30"/>
      <x:c r="BR32" s="30"/>
      <x:c r="BS32" s="30"/>
      <x:c r="BT32" s="30"/>
      <x:c r="BU32" s="30"/>
      <x:c r="BV32" s="30"/>
      <x:c r="BW32" s="30"/>
      <x:c r="BX32" s="30"/>
      <x:c r="BY32" s="30"/>
      <x:c r="BZ32" s="30"/>
      <x:c r="CA32" s="30"/>
      <x:c r="CB32" s="30"/>
      <x:c r="CC32" s="30"/>
      <x:c r="CD32" s="30"/>
      <x:c r="CE32" s="30"/>
      <x:c r="CF32" s="30"/>
      <x:c r="CG32" s="30"/>
      <x:c r="CH32" s="30"/>
      <x:c r="CI32" s="30"/>
      <x:c r="CJ32" s="30"/>
      <x:c r="CK32" s="30"/>
      <x:c r="CL32" s="30"/>
      <x:c r="CM32" s="30"/>
      <x:c r="CN32" s="30"/>
      <x:c r="CO32" s="30"/>
      <x:c r="CP32" s="30"/>
      <x:c r="CQ32" s="30"/>
      <x:c r="CR32" s="30"/>
      <x:c r="CS32" s="30"/>
      <x:c r="CT32" s="30"/>
      <x:c r="CU32" s="30"/>
      <x:c r="CV32" s="30"/>
      <x:c r="CW32" s="30"/>
      <x:c r="CX32" s="30"/>
      <x:c r="CY32" s="30"/>
      <x:c r="CZ32" s="30"/>
      <x:c r="DA32" s="30"/>
      <x:c r="DB32" s="30"/>
      <x:c r="DC32" s="30"/>
      <x:c r="DD32" s="30"/>
      <x:c r="DE32" s="30"/>
      <x:c r="DF32" s="30"/>
      <x:c r="DG32" s="30"/>
    </x:row>
  </x:sheetData>
  <x:mergeCells>
    <x:mergeCell ref="CX1:DG1"/>
    <x:mergeCell ref="AQ1:CC1"/>
    <x:mergeCell ref="B1:D1"/>
    <x:mergeCell ref="CD1:CW1"/>
    <x:mergeCell ref="E1:AO1"/>
  </x:mergeCells>
  <x:dataValidations count="4">
    <x:dataValidation type="whole" errorTitle="Valor inválido" error="Digite um valor entre 0 e 5" promptTitle="MAIA-2" prompt="MAIA-2: 0 (Nunca) a 5 (Sempre)" sqref="E3:AP32">
      <x:formula1>0</x:formula1>
      <x:formula2>5</x:formula2>
    </x:dataValidation>
    <x:dataValidation type="whole" errorTitle="Valor inválido" error="Digite um valor entre 1 e 5" promptTitle="FFMQ-BR" prompt="FFMQ: 1 (Nunca) a 5 (Sempre)" sqref="AQ3:BK32">
      <x:formula1>1</x:formula1>
      <x:formula2>5</x:formula2>
    </x:dataValidation>
    <x:dataValidation type="whole" errorTitle="Inválido" error="Digite 0 a 5" promptTitle="IPS-20" prompt="IPS-20: 0 (Nunca) a 5 (Sempre)" sqref="CD3:CW32">
      <x:formula1>0</x:formula1>
      <x:formula2>5</x:formula2>
    </x:dataValidation>
    <x:dataValidation type="whole" errorTitle="Inválido" error="Digite 1 a 4" promptTitle="GSES" prompt="GSES: 1 (Incorreto) a 4 (Exatamente correto)" sqref="CX3:DG32">
      <x:formula1>1</x:formula1>
      <x:formula2>4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5"/>
  <x:cols>
    <x:col min="1" max="1" width="3" customWidth="1"/>
    <x:col min="2" max="2" width="20" customWidth="1"/>
    <x:col min="3" max="3" width="10" customWidth="1"/>
    <x:col min="4" max="4" width="12" customWidth="1"/>
    <x:col min="5" max="9" width="18" customWidth="1"/>
    <x:col min="10" max="11" width="14" customWidth="1"/>
  </x:cols>
  <x:sheetData>
    <x:row r="1" ht="21.75" customHeight="1">
      <x:c r="B1" s="149" t="s">
        <x:v>32</x:v>
      </x:c>
      <x:c r="C1" s="145"/>
      <x:c r="D1" s="150"/>
      <x:c r="E1" s="160" t="s">
        <x:v>194</x:v>
      </x:c>
      <x:c r="F1" s="145"/>
      <x:c r="G1" s="145"/>
      <x:c r="H1" s="145"/>
      <x:c r="I1" s="150"/>
      <x:c r="J1" s="162" t="s">
        <x:v>195</x:v>
      </x:c>
      <x:c r="K1" s="150"/>
    </x:row>
    <x:row r="2" ht="34.5" customHeight="1">
      <x:c r="B2" s="18" t="s">
        <x:v>35</x:v>
      </x:c>
      <x:c r="C2" s="18" t="s">
        <x:v>36</x:v>
      </x:c>
      <x:c r="D2" s="18" t="s">
        <x:v>37</x:v>
      </x:c>
      <x:c r="E2" s="76" t="s">
        <x:v>196</x:v>
      </x:c>
      <x:c r="F2" s="77" t="s">
        <x:v>197</x:v>
      </x:c>
      <x:c r="G2" s="78" t="s">
        <x:v>198</x:v>
      </x:c>
      <x:c r="H2" s="79" t="s">
        <x:v>199</x:v>
      </x:c>
      <x:c r="I2" s="80" t="s">
        <x:v>200</x:v>
      </x:c>
      <x:c r="J2" s="81" t="s">
        <x:v>201</x:v>
      </x:c>
      <x:c r="K2" s="82" t="s">
        <x:v>202</x:v>
      </x:c>
    </x:row>
    <x:row r="3" ht="18" customHeight="1">
      <x:c r="B3" s="26" t="str">
        <x:f>IF(COUNTA('📥 DADOS BRUTOS'!B3)=0,"",'📥 DADOS BRUTOS'!B3)</x:f>
      </x:c>
      <x:c r="C3" s="26" t="str">
        <x:f>IF(COUNTA('📥 DADOS BRUTOS'!C3)=0,"",'📥 DADOS BRUTOS'!C3)</x:f>
      </x:c>
      <x:c r="D3" s="26" t="str">
        <x:f>IF(COUNTA('📥 DADOS BRUTOS'!D3)=0,"",'📥 DADOS BRUTOS'!D3)</x:f>
      </x:c>
      <x:c r="E3" s="36" t="str">
        <x:f>IF(COUNT('📥 DADOS BRUTOS'!AQ3:CC3)&lt;39,"",AVERAGE('📥 DADOS BRUTOS'!AQ3,'📥 DADOS BRUTOS'!AV3,'📥 DADOS BRUTOS'!BA3,'📥 DADOS BRUTOS'!BE3,'📥 DADOS BRUTOS'!BJ3,'📥 DADOS BRUTOS'!BP3,'📥 DADOS BRUTOS'!BU3,'📥 DADOS BRUTOS'!BZ3))</x:f>
      </x:c>
      <x:c r="F3" s="36" t="str">
        <x:f>IF(COUNT('📥 DADOS BRUTOS'!AQ3:CC3)&lt;39,"",AVERAGE('📥 DADOS BRUTOS'!AR3,'📥 DADOS BRUTOS'!AW3,6-'📥 DADOS BRUTOS'!BB3,6-'📥 DADOS BRUTOS'!BF3,'📥 DADOS BRUTOS'!BL3,'📥 DADOS BRUTOS'!BQ3,6-'📥 DADOS BRUTOS'!BV3,'📥 DADOS BRUTOS'!CA3))</x:f>
      </x:c>
      <x:c r="G3" s="36" t="str">
        <x:f>IF(COUNT('📥 DADOS BRUTOS'!AQ3:CC3)&lt;39,"",AVERAGE(6-'📥 DADOS BRUTOS'!AU3,6-'📥 DADOS BRUTOS'!AX3,6-'📥 DADOS BRUTOS'!BC3,6-'📥 DADOS BRUTOS'!BH3,6-'📥 DADOS BRUTOS'!BM3,6-'📥 DADOS BRUTOS'!BR3,6-'📥 DADOS BRUTOS'!BX3,6-'📥 DADOS BRUTOS'!CB3))</x:f>
      </x:c>
      <x:c r="H3" s="36" t="str">
        <x:f>IF(COUNT('📥 DADOS BRUTOS'!AQ3:CC3)&lt;39,"",AVERAGE(6-'📥 DADOS BRUTOS'!AS3,6-'📥 DADOS BRUTOS'!AZ3,6-'📥 DADOS BRUTOS'!BD3,6-'📥 DADOS BRUTOS'!BG3,6-'📥 DADOS BRUTOS'!BO3,6-'📥 DADOS BRUTOS'!BT3,6-'📥 DADOS BRUTOS'!BY3,6-'📥 DADOS BRUTOS'!CC3))</x:f>
      </x:c>
      <x:c r="I3" s="36" t="str">
        <x:f>IF(COUNT('📥 DADOS BRUTOS'!AQ3:CC3)&lt;39,"",AVERAGE('📥 DADOS BRUTOS'!AT3,'📥 DADOS BRUTOS'!AY3,'📥 DADOS BRUTOS'!BI3,'📥 DADOS BRUTOS'!BK3,'📥 DADOS BRUTOS'!BN3,'📥 DADOS BRUTOS'!BS3,'📥 DADOS BRUTOS'!BW3))</x:f>
      </x:c>
      <x:c r="J3" s="83" t="str">
        <x:f t="shared" ref="J3:J32" si="0">IF(COUNT(E3:I3)&lt;5,"",AVERAGE(E3:I3))</x:f>
      </x:c>
      <x:c r="K3" s="27" t="str">
        <x:f>IF(COUNT('📥 DADOS BRUTOS'!AQ3:CC3)&lt;39,"",SUM('📥 DADOS BRUTOS'!AQ3,'📥 DADOS BRUTOS'!AR3,6-'📥 DADOS BRUTOS'!AS3,'📥 DADOS BRUTOS'!AT3,6-'📥 DADOS BRUTOS'!AU3,'📥 DADOS BRUTOS'!AV3,'📥 DADOS BRUTOS'!AW3,6-'📥 DADOS BRUTOS'!AX3,'📥 DADOS BRUTOS'!AY3,6-'📥 DADOS BRUTOS'!AZ3,'📥 DADOS BRUTOS'!BA3,6-'📥 DADOS BRUTOS'!BB3,6-'📥 DADOS BRUTOS'!BC3,6-'📥 DADOS BRUTOS'!BD3,'📥 DADOS BRUTOS'!BE3,6-'📥 DADOS BRUTOS'!BF3,6-'📥 DADOS BRUTOS'!BG3,6-'📥 DADOS BRUTOS'!BH3,'📥 DADOS BRUTOS'!BI3,'📥 DADOS BRUTOS'!BJ3,'📥 DADOS BRUTOS'!BK3,'📥 DADOS BRUTOS'!BL3,6-'📥 DADOS BRUTOS'!BM3,'📥 DADOS BRUTOS'!BN3,6-'📥 DADOS BRUTOS'!BO3,'📥 DADOS BRUTOS'!BP3,'📥 DADOS BRUTOS'!BQ3,6-'📥 DADOS BRUTOS'!BR3,'📥 DADOS BRUTOS'!BS3,6-'📥 DADOS BRUTOS'!BT3,'📥 DADOS BRUTOS'!BU3,6-'📥 DADOS BRUTOS'!BV3,'📥 DADOS BRUTOS'!BW3,6-'📥 DADOS BRUTOS'!BX3,6-'📥 DADOS BRUTOS'!BY3,'📥 DADOS BRUTOS'!BZ3,'📥 DADOS BRUTOS'!CA3,6-'📥 DADOS BRUTOS'!CB3,6-'📥 DADOS BRUTOS'!CC3))</x:f>
      </x:c>
    </x:row>
    <x:row r="4" ht="18" customHeight="1">
      <x:c r="B4" s="30" t="str">
        <x:f>IF(COUNTA('📥 DADOS BRUTOS'!B4)=0,"",'📥 DADOS BRUTOS'!B4)</x:f>
      </x:c>
      <x:c r="C4" s="30" t="str">
        <x:f>IF(COUNTA('📥 DADOS BRUTOS'!C4)=0,"",'📥 DADOS BRUTOS'!C4)</x:f>
      </x:c>
      <x:c r="D4" s="30" t="str">
        <x:f>IF(COUNTA('📥 DADOS BRUTOS'!D4)=0,"",'📥 DADOS BRUTOS'!D4)</x:f>
      </x:c>
      <x:c r="E4" s="84" t="str">
        <x:f>IF(COUNT('📥 DADOS BRUTOS'!AQ4:CC4)&lt;39,"",AVERAGE('📥 DADOS BRUTOS'!AQ4,'📥 DADOS BRUTOS'!AV4,'📥 DADOS BRUTOS'!BA4,'📥 DADOS BRUTOS'!BE4,'📥 DADOS BRUTOS'!BJ4,'📥 DADOS BRUTOS'!BP4,'📥 DADOS BRUTOS'!BU4,'📥 DADOS BRUTOS'!BZ4))</x:f>
      </x:c>
      <x:c r="F4" s="84" t="str">
        <x:f>IF(COUNT('📥 DADOS BRUTOS'!AQ4:CC4)&lt;39,"",AVERAGE('📥 DADOS BRUTOS'!AR4,'📥 DADOS BRUTOS'!AW4,6-'📥 DADOS BRUTOS'!BB4,6-'📥 DADOS BRUTOS'!BF4,'📥 DADOS BRUTOS'!BL4,'📥 DADOS BRUTOS'!BQ4,6-'📥 DADOS BRUTOS'!BV4,'📥 DADOS BRUTOS'!CA4))</x:f>
      </x:c>
      <x:c r="G4" s="84" t="str">
        <x:f>IF(COUNT('📥 DADOS BRUTOS'!AQ4:CC4)&lt;39,"",AVERAGE(6-'📥 DADOS BRUTOS'!AU4,6-'📥 DADOS BRUTOS'!AX4,6-'📥 DADOS BRUTOS'!BC4,6-'📥 DADOS BRUTOS'!BH4,6-'📥 DADOS BRUTOS'!BM4,6-'📥 DADOS BRUTOS'!BR4,6-'📥 DADOS BRUTOS'!BX4,6-'📥 DADOS BRUTOS'!CB4))</x:f>
      </x:c>
      <x:c r="H4" s="84" t="str">
        <x:f>IF(COUNT('📥 DADOS BRUTOS'!AQ4:CC4)&lt;39,"",AVERAGE(6-'📥 DADOS BRUTOS'!AS4,6-'📥 DADOS BRUTOS'!AZ4,6-'📥 DADOS BRUTOS'!BD4,6-'📥 DADOS BRUTOS'!BG4,6-'📥 DADOS BRUTOS'!BO4,6-'📥 DADOS BRUTOS'!BT4,6-'📥 DADOS BRUTOS'!BY4,6-'📥 DADOS BRUTOS'!CC4))</x:f>
      </x:c>
      <x:c r="I4" s="84" t="str">
        <x:f>IF(COUNT('📥 DADOS BRUTOS'!AQ4:CC4)&lt;39,"",AVERAGE('📥 DADOS BRUTOS'!AT4,'📥 DADOS BRUTOS'!AY4,'📥 DADOS BRUTOS'!BI4,'📥 DADOS BRUTOS'!BK4,'📥 DADOS BRUTOS'!BN4,'📥 DADOS BRUTOS'!BS4,'📥 DADOS BRUTOS'!BW4))</x:f>
      </x:c>
      <x:c r="J4" s="85" t="str">
        <x:f t="shared" si="0">IF(COUNT(E4:I4)&lt;5,"",AVERAGE(E4:I4))</x:f>
      </x:c>
      <x:c r="K4" s="31" t="str">
        <x:f>IF(COUNT('📥 DADOS BRUTOS'!AQ4:CC4)&lt;39,"",SUM('📥 DADOS BRUTOS'!AQ4,'📥 DADOS BRUTOS'!AR4,6-'📥 DADOS BRUTOS'!AS4,'📥 DADOS BRUTOS'!AT4,6-'📥 DADOS BRUTOS'!AU4,'📥 DADOS BRUTOS'!AV4,'📥 DADOS BRUTOS'!AW4,6-'📥 DADOS BRUTOS'!AX4,'📥 DADOS BRUTOS'!AY4,6-'📥 DADOS BRUTOS'!AZ4,'📥 DADOS BRUTOS'!BA4,6-'📥 DADOS BRUTOS'!BB4,6-'📥 DADOS BRUTOS'!BC4,6-'📥 DADOS BRUTOS'!BD4,'📥 DADOS BRUTOS'!BE4,6-'📥 DADOS BRUTOS'!BF4,6-'📥 DADOS BRUTOS'!BG4,6-'📥 DADOS BRUTOS'!BH4,'📥 DADOS BRUTOS'!BI4,'📥 DADOS BRUTOS'!BJ4,'📥 DADOS BRUTOS'!BK4,'📥 DADOS BRUTOS'!BL4,6-'📥 DADOS BRUTOS'!BM4,'📥 DADOS BRUTOS'!BN4,6-'📥 DADOS BRUTOS'!BO4,'📥 DADOS BRUTOS'!BP4,'📥 DADOS BRUTOS'!BQ4,6-'📥 DADOS BRUTOS'!BR4,'📥 DADOS BRUTOS'!BS4,6-'📥 DADOS BRUTOS'!BT4,'📥 DADOS BRUTOS'!BU4,6-'📥 DADOS BRUTOS'!BV4,'📥 DADOS BRUTOS'!BW4,6-'📥 DADOS BRUTOS'!BX4,6-'📥 DADOS BRUTOS'!BY4,'📥 DADOS BRUTOS'!BZ4,'📥 DADOS BRUTOS'!CA4,6-'📥 DADOS BRUTOS'!CB4,6-'📥 DADOS BRUTOS'!CC4))</x:f>
      </x:c>
    </x:row>
    <x:row r="5" ht="18" customHeight="1">
      <x:c r="B5" s="26" t="str">
        <x:f>IF(COUNTA('📥 DADOS BRUTOS'!B5)=0,"",'📥 DADOS BRUTOS'!B5)</x:f>
      </x:c>
      <x:c r="C5" s="26" t="str">
        <x:f>IF(COUNTA('📥 DADOS BRUTOS'!C5)=0,"",'📥 DADOS BRUTOS'!C5)</x:f>
      </x:c>
      <x:c r="D5" s="26" t="str">
        <x:f>IF(COUNTA('📥 DADOS BRUTOS'!D5)=0,"",'📥 DADOS BRUTOS'!D5)</x:f>
      </x:c>
      <x:c r="E5" s="36" t="str">
        <x:f>IF(COUNT('📥 DADOS BRUTOS'!AQ5:CC5)&lt;39,"",AVERAGE('📥 DADOS BRUTOS'!AQ5,'📥 DADOS BRUTOS'!AV5,'📥 DADOS BRUTOS'!BA5,'📥 DADOS BRUTOS'!BE5,'📥 DADOS BRUTOS'!BJ5,'📥 DADOS BRUTOS'!BP5,'📥 DADOS BRUTOS'!BU5,'📥 DADOS BRUTOS'!BZ5))</x:f>
      </x:c>
      <x:c r="F5" s="36" t="str">
        <x:f>IF(COUNT('📥 DADOS BRUTOS'!AQ5:CC5)&lt;39,"",AVERAGE('📥 DADOS BRUTOS'!AR5,'📥 DADOS BRUTOS'!AW5,6-'📥 DADOS BRUTOS'!BB5,6-'📥 DADOS BRUTOS'!BF5,'📥 DADOS BRUTOS'!BL5,'📥 DADOS BRUTOS'!BQ5,6-'📥 DADOS BRUTOS'!BV5,'📥 DADOS BRUTOS'!CA5))</x:f>
      </x:c>
      <x:c r="G5" s="36" t="str">
        <x:f>IF(COUNT('📥 DADOS BRUTOS'!AQ5:CC5)&lt;39,"",AVERAGE(6-'📥 DADOS BRUTOS'!AU5,6-'📥 DADOS BRUTOS'!AX5,6-'📥 DADOS BRUTOS'!BC5,6-'📥 DADOS BRUTOS'!BH5,6-'📥 DADOS BRUTOS'!BM5,6-'📥 DADOS BRUTOS'!BR5,6-'📥 DADOS BRUTOS'!BX5,6-'📥 DADOS BRUTOS'!CB5))</x:f>
      </x:c>
      <x:c r="H5" s="36" t="str">
        <x:f>IF(COUNT('📥 DADOS BRUTOS'!AQ5:CC5)&lt;39,"",AVERAGE(6-'📥 DADOS BRUTOS'!AS5,6-'📥 DADOS BRUTOS'!AZ5,6-'📥 DADOS BRUTOS'!BD5,6-'📥 DADOS BRUTOS'!BG5,6-'📥 DADOS BRUTOS'!BO5,6-'📥 DADOS BRUTOS'!BT5,6-'📥 DADOS BRUTOS'!BY5,6-'📥 DADOS BRUTOS'!CC5))</x:f>
      </x:c>
      <x:c r="I5" s="36" t="str">
        <x:f>IF(COUNT('📥 DADOS BRUTOS'!AQ5:CC5)&lt;39,"",AVERAGE('📥 DADOS BRUTOS'!AT5,'📥 DADOS BRUTOS'!AY5,'📥 DADOS BRUTOS'!BI5,'📥 DADOS BRUTOS'!BK5,'📥 DADOS BRUTOS'!BN5,'📥 DADOS BRUTOS'!BS5,'📥 DADOS BRUTOS'!BW5))</x:f>
      </x:c>
      <x:c r="J5" s="83" t="str">
        <x:f t="shared" si="0">IF(COUNT(E5:I5)&lt;5,"",AVERAGE(E5:I5))</x:f>
      </x:c>
      <x:c r="K5" s="27" t="str">
        <x:f>IF(COUNT('📥 DADOS BRUTOS'!AQ5:CC5)&lt;39,"",SUM('📥 DADOS BRUTOS'!AQ5,'📥 DADOS BRUTOS'!AR5,6-'📥 DADOS BRUTOS'!AS5,'📥 DADOS BRUTOS'!AT5,6-'📥 DADOS BRUTOS'!AU5,'📥 DADOS BRUTOS'!AV5,'📥 DADOS BRUTOS'!AW5,6-'📥 DADOS BRUTOS'!AX5,'📥 DADOS BRUTOS'!AY5,6-'📥 DADOS BRUTOS'!AZ5,'📥 DADOS BRUTOS'!BA5,6-'📥 DADOS BRUTOS'!BB5,6-'📥 DADOS BRUTOS'!BC5,6-'📥 DADOS BRUTOS'!BD5,'📥 DADOS BRUTOS'!BE5,6-'📥 DADOS BRUTOS'!BF5,6-'📥 DADOS BRUTOS'!BG5,6-'📥 DADOS BRUTOS'!BH5,'📥 DADOS BRUTOS'!BI5,'📥 DADOS BRUTOS'!BJ5,'📥 DADOS BRUTOS'!BK5,'📥 DADOS BRUTOS'!BL5,6-'📥 DADOS BRUTOS'!BM5,'📥 DADOS BRUTOS'!BN5,6-'📥 DADOS BRUTOS'!BO5,'📥 DADOS BRUTOS'!BP5,'📥 DADOS BRUTOS'!BQ5,6-'📥 DADOS BRUTOS'!BR5,'📥 DADOS BRUTOS'!BS5,6-'📥 DADOS BRUTOS'!BT5,'📥 DADOS BRUTOS'!BU5,6-'📥 DADOS BRUTOS'!BV5,'📥 DADOS BRUTOS'!BW5,6-'📥 DADOS BRUTOS'!BX5,6-'📥 DADOS BRUTOS'!BY5,'📥 DADOS BRUTOS'!BZ5,'📥 DADOS BRUTOS'!CA5,6-'📥 DADOS BRUTOS'!CB5,6-'📥 DADOS BRUTOS'!CC5))</x:f>
      </x:c>
    </x:row>
    <x:row r="6" ht="18" customHeight="1">
      <x:c r="B6" s="30" t="str">
        <x:f>IF(COUNTA('📥 DADOS BRUTOS'!B6)=0,"",'📥 DADOS BRUTOS'!B6)</x:f>
      </x:c>
      <x:c r="C6" s="30" t="str">
        <x:f>IF(COUNTA('📥 DADOS BRUTOS'!C6)=0,"",'📥 DADOS BRUTOS'!C6)</x:f>
      </x:c>
      <x:c r="D6" s="30" t="str">
        <x:f>IF(COUNTA('📥 DADOS BRUTOS'!D6)=0,"",'📥 DADOS BRUTOS'!D6)</x:f>
      </x:c>
      <x:c r="E6" s="84" t="str">
        <x:f>IF(COUNT('📥 DADOS BRUTOS'!AQ6:CC6)&lt;39,"",AVERAGE('📥 DADOS BRUTOS'!AQ6,'📥 DADOS BRUTOS'!AV6,'📥 DADOS BRUTOS'!BA6,'📥 DADOS BRUTOS'!BE6,'📥 DADOS BRUTOS'!BJ6,'📥 DADOS BRUTOS'!BP6,'📥 DADOS BRUTOS'!BU6,'📥 DADOS BRUTOS'!BZ6))</x:f>
      </x:c>
      <x:c r="F6" s="84" t="str">
        <x:f>IF(COUNT('📥 DADOS BRUTOS'!AQ6:CC6)&lt;39,"",AVERAGE('📥 DADOS BRUTOS'!AR6,'📥 DADOS BRUTOS'!AW6,6-'📥 DADOS BRUTOS'!BB6,6-'📥 DADOS BRUTOS'!BF6,'📥 DADOS BRUTOS'!BL6,'📥 DADOS BRUTOS'!BQ6,6-'📥 DADOS BRUTOS'!BV6,'📥 DADOS BRUTOS'!CA6))</x:f>
      </x:c>
      <x:c r="G6" s="84" t="str">
        <x:f>IF(COUNT('📥 DADOS BRUTOS'!AQ6:CC6)&lt;39,"",AVERAGE(6-'📥 DADOS BRUTOS'!AU6,6-'📥 DADOS BRUTOS'!AX6,6-'📥 DADOS BRUTOS'!BC6,6-'📥 DADOS BRUTOS'!BH6,6-'📥 DADOS BRUTOS'!BM6,6-'📥 DADOS BRUTOS'!BR6,6-'📥 DADOS BRUTOS'!BX6,6-'📥 DADOS BRUTOS'!CB6))</x:f>
      </x:c>
      <x:c r="H6" s="84" t="str">
        <x:f>IF(COUNT('📥 DADOS BRUTOS'!AQ6:CC6)&lt;39,"",AVERAGE(6-'📥 DADOS BRUTOS'!AS6,6-'📥 DADOS BRUTOS'!AZ6,6-'📥 DADOS BRUTOS'!BD6,6-'📥 DADOS BRUTOS'!BG6,6-'📥 DADOS BRUTOS'!BO6,6-'📥 DADOS BRUTOS'!BT6,6-'📥 DADOS BRUTOS'!BY6,6-'📥 DADOS BRUTOS'!CC6))</x:f>
      </x:c>
      <x:c r="I6" s="84" t="str">
        <x:f>IF(COUNT('📥 DADOS BRUTOS'!AQ6:CC6)&lt;39,"",AVERAGE('📥 DADOS BRUTOS'!AT6,'📥 DADOS BRUTOS'!AY6,'📥 DADOS BRUTOS'!BI6,'📥 DADOS BRUTOS'!BK6,'📥 DADOS BRUTOS'!BN6,'📥 DADOS BRUTOS'!BS6,'📥 DADOS BRUTOS'!BW6))</x:f>
      </x:c>
      <x:c r="J6" s="85" t="str">
        <x:f t="shared" si="0">IF(COUNT(E6:I6)&lt;5,"",AVERAGE(E6:I6))</x:f>
      </x:c>
      <x:c r="K6" s="31" t="str">
        <x:f>IF(COUNT('📥 DADOS BRUTOS'!AQ6:CC6)&lt;39,"",SUM('📥 DADOS BRUTOS'!AQ6,'📥 DADOS BRUTOS'!AR6,6-'📥 DADOS BRUTOS'!AS6,'📥 DADOS BRUTOS'!AT6,6-'📥 DADOS BRUTOS'!AU6,'📥 DADOS BRUTOS'!AV6,'📥 DADOS BRUTOS'!AW6,6-'📥 DADOS BRUTOS'!AX6,'📥 DADOS BRUTOS'!AY6,6-'📥 DADOS BRUTOS'!AZ6,'📥 DADOS BRUTOS'!BA6,6-'📥 DADOS BRUTOS'!BB6,6-'📥 DADOS BRUTOS'!BC6,6-'📥 DADOS BRUTOS'!BD6,'📥 DADOS BRUTOS'!BE6,6-'📥 DADOS BRUTOS'!BF6,6-'📥 DADOS BRUTOS'!BG6,6-'📥 DADOS BRUTOS'!BH6,'📥 DADOS BRUTOS'!BI6,'📥 DADOS BRUTOS'!BJ6,'📥 DADOS BRUTOS'!BK6,'📥 DADOS BRUTOS'!BL6,6-'📥 DADOS BRUTOS'!BM6,'📥 DADOS BRUTOS'!BN6,6-'📥 DADOS BRUTOS'!BO6,'📥 DADOS BRUTOS'!BP6,'📥 DADOS BRUTOS'!BQ6,6-'📥 DADOS BRUTOS'!BR6,'📥 DADOS BRUTOS'!BS6,6-'📥 DADOS BRUTOS'!BT6,'📥 DADOS BRUTOS'!BU6,6-'📥 DADOS BRUTOS'!BV6,'📥 DADOS BRUTOS'!BW6,6-'📥 DADOS BRUTOS'!BX6,6-'📥 DADOS BRUTOS'!BY6,'📥 DADOS BRUTOS'!BZ6,'📥 DADOS BRUTOS'!CA6,6-'📥 DADOS BRUTOS'!CB6,6-'📥 DADOS BRUTOS'!CC6))</x:f>
      </x:c>
    </x:row>
    <x:row r="7" ht="18" customHeight="1">
      <x:c r="B7" s="26" t="str">
        <x:f>IF(COUNTA('📥 DADOS BRUTOS'!B7)=0,"",'📥 DADOS BRUTOS'!B7)</x:f>
      </x:c>
      <x:c r="C7" s="26" t="str">
        <x:f>IF(COUNTA('📥 DADOS BRUTOS'!C7)=0,"",'📥 DADOS BRUTOS'!C7)</x:f>
      </x:c>
      <x:c r="D7" s="26" t="str">
        <x:f>IF(COUNTA('📥 DADOS BRUTOS'!D7)=0,"",'📥 DADOS BRUTOS'!D7)</x:f>
      </x:c>
      <x:c r="E7" s="36" t="str">
        <x:f>IF(COUNT('📥 DADOS BRUTOS'!AQ7:CC7)&lt;39,"",AVERAGE('📥 DADOS BRUTOS'!AQ7,'📥 DADOS BRUTOS'!AV7,'📥 DADOS BRUTOS'!BA7,'📥 DADOS BRUTOS'!BE7,'📥 DADOS BRUTOS'!BJ7,'📥 DADOS BRUTOS'!BP7,'📥 DADOS BRUTOS'!BU7,'📥 DADOS BRUTOS'!BZ7))</x:f>
      </x:c>
      <x:c r="F7" s="36" t="str">
        <x:f>IF(COUNT('📥 DADOS BRUTOS'!AQ7:CC7)&lt;39,"",AVERAGE('📥 DADOS BRUTOS'!AR7,'📥 DADOS BRUTOS'!AW7,6-'📥 DADOS BRUTOS'!BB7,6-'📥 DADOS BRUTOS'!BF7,'📥 DADOS BRUTOS'!BL7,'📥 DADOS BRUTOS'!BQ7,6-'📥 DADOS BRUTOS'!BV7,'📥 DADOS BRUTOS'!CA7))</x:f>
      </x:c>
      <x:c r="G7" s="36" t="str">
        <x:f>IF(COUNT('📥 DADOS BRUTOS'!AQ7:CC7)&lt;39,"",AVERAGE(6-'📥 DADOS BRUTOS'!AU7,6-'📥 DADOS BRUTOS'!AX7,6-'📥 DADOS BRUTOS'!BC7,6-'📥 DADOS BRUTOS'!BH7,6-'📥 DADOS BRUTOS'!BM7,6-'📥 DADOS BRUTOS'!BR7,6-'📥 DADOS BRUTOS'!BX7,6-'📥 DADOS BRUTOS'!CB7))</x:f>
      </x:c>
      <x:c r="H7" s="36" t="str">
        <x:f>IF(COUNT('📥 DADOS BRUTOS'!AQ7:CC7)&lt;39,"",AVERAGE(6-'📥 DADOS BRUTOS'!AS7,6-'📥 DADOS BRUTOS'!AZ7,6-'📥 DADOS BRUTOS'!BD7,6-'📥 DADOS BRUTOS'!BG7,6-'📥 DADOS BRUTOS'!BO7,6-'📥 DADOS BRUTOS'!BT7,6-'📥 DADOS BRUTOS'!BY7,6-'📥 DADOS BRUTOS'!CC7))</x:f>
      </x:c>
      <x:c r="I7" s="36" t="str">
        <x:f>IF(COUNT('📥 DADOS BRUTOS'!AQ7:CC7)&lt;39,"",AVERAGE('📥 DADOS BRUTOS'!AT7,'📥 DADOS BRUTOS'!AY7,'📥 DADOS BRUTOS'!BI7,'📥 DADOS BRUTOS'!BK7,'📥 DADOS BRUTOS'!BN7,'📥 DADOS BRUTOS'!BS7,'📥 DADOS BRUTOS'!BW7))</x:f>
      </x:c>
      <x:c r="J7" s="83" t="str">
        <x:f t="shared" si="0">IF(COUNT(E7:I7)&lt;5,"",AVERAGE(E7:I7))</x:f>
      </x:c>
      <x:c r="K7" s="27" t="str">
        <x:f>IF(COUNT('📥 DADOS BRUTOS'!AQ7:CC7)&lt;39,"",SUM('📥 DADOS BRUTOS'!AQ7,'📥 DADOS BRUTOS'!AR7,6-'📥 DADOS BRUTOS'!AS7,'📥 DADOS BRUTOS'!AT7,6-'📥 DADOS BRUTOS'!AU7,'📥 DADOS BRUTOS'!AV7,'📥 DADOS BRUTOS'!AW7,6-'📥 DADOS BRUTOS'!AX7,'📥 DADOS BRUTOS'!AY7,6-'📥 DADOS BRUTOS'!AZ7,'📥 DADOS BRUTOS'!BA7,6-'📥 DADOS BRUTOS'!BB7,6-'📥 DADOS BRUTOS'!BC7,6-'📥 DADOS BRUTOS'!BD7,'📥 DADOS BRUTOS'!BE7,6-'📥 DADOS BRUTOS'!BF7,6-'📥 DADOS BRUTOS'!BG7,6-'📥 DADOS BRUTOS'!BH7,'📥 DADOS BRUTOS'!BI7,'📥 DADOS BRUTOS'!BJ7,'📥 DADOS BRUTOS'!BK7,'📥 DADOS BRUTOS'!BL7,6-'📥 DADOS BRUTOS'!BM7,'📥 DADOS BRUTOS'!BN7,6-'📥 DADOS BRUTOS'!BO7,'📥 DADOS BRUTOS'!BP7,'📥 DADOS BRUTOS'!BQ7,6-'📥 DADOS BRUTOS'!BR7,'📥 DADOS BRUTOS'!BS7,6-'📥 DADOS BRUTOS'!BT7,'📥 DADOS BRUTOS'!BU7,6-'📥 DADOS BRUTOS'!BV7,'📥 DADOS BRUTOS'!BW7,6-'📥 DADOS BRUTOS'!BX7,6-'📥 DADOS BRUTOS'!BY7,'📥 DADOS BRUTOS'!BZ7,'📥 DADOS BRUTOS'!CA7,6-'📥 DADOS BRUTOS'!CB7,6-'📥 DADOS BRUTOS'!CC7))</x:f>
      </x:c>
    </x:row>
    <x:row r="8" ht="18" customHeight="1">
      <x:c r="B8" s="30" t="str">
        <x:f>IF(COUNTA('📥 DADOS BRUTOS'!B8)=0,"",'📥 DADOS BRUTOS'!B8)</x:f>
      </x:c>
      <x:c r="C8" s="30" t="str">
        <x:f>IF(COUNTA('📥 DADOS BRUTOS'!C8)=0,"",'📥 DADOS BRUTOS'!C8)</x:f>
      </x:c>
      <x:c r="D8" s="30" t="str">
        <x:f>IF(COUNTA('📥 DADOS BRUTOS'!D8)=0,"",'📥 DADOS BRUTOS'!D8)</x:f>
      </x:c>
      <x:c r="E8" s="84" t="str">
        <x:f>IF(COUNT('📥 DADOS BRUTOS'!AQ8:CC8)&lt;39,"",AVERAGE('📥 DADOS BRUTOS'!AQ8,'📥 DADOS BRUTOS'!AV8,'📥 DADOS BRUTOS'!BA8,'📥 DADOS BRUTOS'!BE8,'📥 DADOS BRUTOS'!BJ8,'📥 DADOS BRUTOS'!BP8,'📥 DADOS BRUTOS'!BU8,'📥 DADOS BRUTOS'!BZ8))</x:f>
      </x:c>
      <x:c r="F8" s="84" t="str">
        <x:f>IF(COUNT('📥 DADOS BRUTOS'!AQ8:CC8)&lt;39,"",AVERAGE('📥 DADOS BRUTOS'!AR8,'📥 DADOS BRUTOS'!AW8,6-'📥 DADOS BRUTOS'!BB8,6-'📥 DADOS BRUTOS'!BF8,'📥 DADOS BRUTOS'!BL8,'📥 DADOS BRUTOS'!BQ8,6-'📥 DADOS BRUTOS'!BV8,'📥 DADOS BRUTOS'!CA8))</x:f>
      </x:c>
      <x:c r="G8" s="84" t="str">
        <x:f>IF(COUNT('📥 DADOS BRUTOS'!AQ8:CC8)&lt;39,"",AVERAGE(6-'📥 DADOS BRUTOS'!AU8,6-'📥 DADOS BRUTOS'!AX8,6-'📥 DADOS BRUTOS'!BC8,6-'📥 DADOS BRUTOS'!BH8,6-'📥 DADOS BRUTOS'!BM8,6-'📥 DADOS BRUTOS'!BR8,6-'📥 DADOS BRUTOS'!BX8,6-'📥 DADOS BRUTOS'!CB8))</x:f>
      </x:c>
      <x:c r="H8" s="84" t="str">
        <x:f>IF(COUNT('📥 DADOS BRUTOS'!AQ8:CC8)&lt;39,"",AVERAGE(6-'📥 DADOS BRUTOS'!AS8,6-'📥 DADOS BRUTOS'!AZ8,6-'📥 DADOS BRUTOS'!BD8,6-'📥 DADOS BRUTOS'!BG8,6-'📥 DADOS BRUTOS'!BO8,6-'📥 DADOS BRUTOS'!BT8,6-'📥 DADOS BRUTOS'!BY8,6-'📥 DADOS BRUTOS'!CC8))</x:f>
      </x:c>
      <x:c r="I8" s="84" t="str">
        <x:f>IF(COUNT('📥 DADOS BRUTOS'!AQ8:CC8)&lt;39,"",AVERAGE('📥 DADOS BRUTOS'!AT8,'📥 DADOS BRUTOS'!AY8,'📥 DADOS BRUTOS'!BI8,'📥 DADOS BRUTOS'!BK8,'📥 DADOS BRUTOS'!BN8,'📥 DADOS BRUTOS'!BS8,'📥 DADOS BRUTOS'!BW8))</x:f>
      </x:c>
      <x:c r="J8" s="85" t="str">
        <x:f t="shared" si="0">IF(COUNT(E8:I8)&lt;5,"",AVERAGE(E8:I8))</x:f>
      </x:c>
      <x:c r="K8" s="31" t="str">
        <x:f>IF(COUNT('📥 DADOS BRUTOS'!AQ8:CC8)&lt;39,"",SUM('📥 DADOS BRUTOS'!AQ8,'📥 DADOS BRUTOS'!AR8,6-'📥 DADOS BRUTOS'!AS8,'📥 DADOS BRUTOS'!AT8,6-'📥 DADOS BRUTOS'!AU8,'📥 DADOS BRUTOS'!AV8,'📥 DADOS BRUTOS'!AW8,6-'📥 DADOS BRUTOS'!AX8,'📥 DADOS BRUTOS'!AY8,6-'📥 DADOS BRUTOS'!AZ8,'📥 DADOS BRUTOS'!BA8,6-'📥 DADOS BRUTOS'!BB8,6-'📥 DADOS BRUTOS'!BC8,6-'📥 DADOS BRUTOS'!BD8,'📥 DADOS BRUTOS'!BE8,6-'📥 DADOS BRUTOS'!BF8,6-'📥 DADOS BRUTOS'!BG8,6-'📥 DADOS BRUTOS'!BH8,'📥 DADOS BRUTOS'!BI8,'📥 DADOS BRUTOS'!BJ8,'📥 DADOS BRUTOS'!BK8,'📥 DADOS BRUTOS'!BL8,6-'📥 DADOS BRUTOS'!BM8,'📥 DADOS BRUTOS'!BN8,6-'📥 DADOS BRUTOS'!BO8,'📥 DADOS BRUTOS'!BP8,'📥 DADOS BRUTOS'!BQ8,6-'📥 DADOS BRUTOS'!BR8,'📥 DADOS BRUTOS'!BS8,6-'📥 DADOS BRUTOS'!BT8,'📥 DADOS BRUTOS'!BU8,6-'📥 DADOS BRUTOS'!BV8,'📥 DADOS BRUTOS'!BW8,6-'📥 DADOS BRUTOS'!BX8,6-'📥 DADOS BRUTOS'!BY8,'📥 DADOS BRUTOS'!BZ8,'📥 DADOS BRUTOS'!CA8,6-'📥 DADOS BRUTOS'!CB8,6-'📥 DADOS BRUTOS'!CC8))</x:f>
      </x:c>
    </x:row>
    <x:row r="9" ht="18" customHeight="1">
      <x:c r="B9" s="26" t="str">
        <x:f>IF(COUNTA('📥 DADOS BRUTOS'!B9)=0,"",'📥 DADOS BRUTOS'!B9)</x:f>
      </x:c>
      <x:c r="C9" s="26" t="str">
        <x:f>IF(COUNTA('📥 DADOS BRUTOS'!C9)=0,"",'📥 DADOS BRUTOS'!C9)</x:f>
      </x:c>
      <x:c r="D9" s="26" t="str">
        <x:f>IF(COUNTA('📥 DADOS BRUTOS'!D9)=0,"",'📥 DADOS BRUTOS'!D9)</x:f>
      </x:c>
      <x:c r="E9" s="36" t="str">
        <x:f>IF(COUNT('📥 DADOS BRUTOS'!AQ9:CC9)&lt;39,"",AVERAGE('📥 DADOS BRUTOS'!AQ9,'📥 DADOS BRUTOS'!AV9,'📥 DADOS BRUTOS'!BA9,'📥 DADOS BRUTOS'!BE9,'📥 DADOS BRUTOS'!BJ9,'📥 DADOS BRUTOS'!BP9,'📥 DADOS BRUTOS'!BU9,'📥 DADOS BRUTOS'!BZ9))</x:f>
      </x:c>
      <x:c r="F9" s="36" t="str">
        <x:f>IF(COUNT('📥 DADOS BRUTOS'!AQ9:CC9)&lt;39,"",AVERAGE('📥 DADOS BRUTOS'!AR9,'📥 DADOS BRUTOS'!AW9,6-'📥 DADOS BRUTOS'!BB9,6-'📥 DADOS BRUTOS'!BF9,'📥 DADOS BRUTOS'!BL9,'📥 DADOS BRUTOS'!BQ9,6-'📥 DADOS BRUTOS'!BV9,'📥 DADOS BRUTOS'!CA9))</x:f>
      </x:c>
      <x:c r="G9" s="36" t="str">
        <x:f>IF(COUNT('📥 DADOS BRUTOS'!AQ9:CC9)&lt;39,"",AVERAGE(6-'📥 DADOS BRUTOS'!AU9,6-'📥 DADOS BRUTOS'!AX9,6-'📥 DADOS BRUTOS'!BC9,6-'📥 DADOS BRUTOS'!BH9,6-'📥 DADOS BRUTOS'!BM9,6-'📥 DADOS BRUTOS'!BR9,6-'📥 DADOS BRUTOS'!BX9,6-'📥 DADOS BRUTOS'!CB9))</x:f>
      </x:c>
      <x:c r="H9" s="36" t="str">
        <x:f>IF(COUNT('📥 DADOS BRUTOS'!AQ9:CC9)&lt;39,"",AVERAGE(6-'📥 DADOS BRUTOS'!AS9,6-'📥 DADOS BRUTOS'!AZ9,6-'📥 DADOS BRUTOS'!BD9,6-'📥 DADOS BRUTOS'!BG9,6-'📥 DADOS BRUTOS'!BO9,6-'📥 DADOS BRUTOS'!BT9,6-'📥 DADOS BRUTOS'!BY9,6-'📥 DADOS BRUTOS'!CC9))</x:f>
      </x:c>
      <x:c r="I9" s="36" t="str">
        <x:f>IF(COUNT('📥 DADOS BRUTOS'!AQ9:CC9)&lt;39,"",AVERAGE('📥 DADOS BRUTOS'!AT9,'📥 DADOS BRUTOS'!AY9,'📥 DADOS BRUTOS'!BI9,'📥 DADOS BRUTOS'!BK9,'📥 DADOS BRUTOS'!BN9,'📥 DADOS BRUTOS'!BS9,'📥 DADOS BRUTOS'!BW9))</x:f>
      </x:c>
      <x:c r="J9" s="83" t="str">
        <x:f t="shared" si="0">IF(COUNT(E9:I9)&lt;5,"",AVERAGE(E9:I9))</x:f>
      </x:c>
      <x:c r="K9" s="27" t="str">
        <x:f>IF(COUNT('📥 DADOS BRUTOS'!AQ9:CC9)&lt;39,"",SUM('📥 DADOS BRUTOS'!AQ9,'📥 DADOS BRUTOS'!AR9,6-'📥 DADOS BRUTOS'!AS9,'📥 DADOS BRUTOS'!AT9,6-'📥 DADOS BRUTOS'!AU9,'📥 DADOS BRUTOS'!AV9,'📥 DADOS BRUTOS'!AW9,6-'📥 DADOS BRUTOS'!AX9,'📥 DADOS BRUTOS'!AY9,6-'📥 DADOS BRUTOS'!AZ9,'📥 DADOS BRUTOS'!BA9,6-'📥 DADOS BRUTOS'!BB9,6-'📥 DADOS BRUTOS'!BC9,6-'📥 DADOS BRUTOS'!BD9,'📥 DADOS BRUTOS'!BE9,6-'📥 DADOS BRUTOS'!BF9,6-'📥 DADOS BRUTOS'!BG9,6-'📥 DADOS BRUTOS'!BH9,'📥 DADOS BRUTOS'!BI9,'📥 DADOS BRUTOS'!BJ9,'📥 DADOS BRUTOS'!BK9,'📥 DADOS BRUTOS'!BL9,6-'📥 DADOS BRUTOS'!BM9,'📥 DADOS BRUTOS'!BN9,6-'📥 DADOS BRUTOS'!BO9,'📥 DADOS BRUTOS'!BP9,'📥 DADOS BRUTOS'!BQ9,6-'📥 DADOS BRUTOS'!BR9,'📥 DADOS BRUTOS'!BS9,6-'📥 DADOS BRUTOS'!BT9,'📥 DADOS BRUTOS'!BU9,6-'📥 DADOS BRUTOS'!BV9,'📥 DADOS BRUTOS'!BW9,6-'📥 DADOS BRUTOS'!BX9,6-'📥 DADOS BRUTOS'!BY9,'📥 DADOS BRUTOS'!BZ9,'📥 DADOS BRUTOS'!CA9,6-'📥 DADOS BRUTOS'!CB9,6-'📥 DADOS BRUTOS'!CC9))</x:f>
      </x:c>
    </x:row>
    <x:row r="10" ht="18" customHeight="1">
      <x:c r="B10" s="30" t="str">
        <x:f>IF(COUNTA('📥 DADOS BRUTOS'!B10)=0,"",'📥 DADOS BRUTOS'!B10)</x:f>
      </x:c>
      <x:c r="C10" s="30" t="str">
        <x:f>IF(COUNTA('📥 DADOS BRUTOS'!C10)=0,"",'📥 DADOS BRUTOS'!C10)</x:f>
      </x:c>
      <x:c r="D10" s="30" t="str">
        <x:f>IF(COUNTA('📥 DADOS BRUTOS'!D10)=0,"",'📥 DADOS BRUTOS'!D10)</x:f>
      </x:c>
      <x:c r="E10" s="84" t="str">
        <x:f>IF(COUNT('📥 DADOS BRUTOS'!AQ10:CC10)&lt;39,"",AVERAGE('📥 DADOS BRUTOS'!AQ10,'📥 DADOS BRUTOS'!AV10,'📥 DADOS BRUTOS'!BA10,'📥 DADOS BRUTOS'!BE10,'📥 DADOS BRUTOS'!BJ10,'📥 DADOS BRUTOS'!BP10,'📥 DADOS BRUTOS'!BU10,'📥 DADOS BRUTOS'!BZ10))</x:f>
      </x:c>
      <x:c r="F10" s="84" t="str">
        <x:f>IF(COUNT('📥 DADOS BRUTOS'!AQ10:CC10)&lt;39,"",AVERAGE('📥 DADOS BRUTOS'!AR10,'📥 DADOS BRUTOS'!AW10,6-'📥 DADOS BRUTOS'!BB10,6-'📥 DADOS BRUTOS'!BF10,'📥 DADOS BRUTOS'!BL10,'📥 DADOS BRUTOS'!BQ10,6-'📥 DADOS BRUTOS'!BV10,'📥 DADOS BRUTOS'!CA10))</x:f>
      </x:c>
      <x:c r="G10" s="84" t="str">
        <x:f>IF(COUNT('📥 DADOS BRUTOS'!AQ10:CC10)&lt;39,"",AVERAGE(6-'📥 DADOS BRUTOS'!AU10,6-'📥 DADOS BRUTOS'!AX10,6-'📥 DADOS BRUTOS'!BC10,6-'📥 DADOS BRUTOS'!BH10,6-'📥 DADOS BRUTOS'!BM10,6-'📥 DADOS BRUTOS'!BR10,6-'📥 DADOS BRUTOS'!BX10,6-'📥 DADOS BRUTOS'!CB10))</x:f>
      </x:c>
      <x:c r="H10" s="84" t="str">
        <x:f>IF(COUNT('📥 DADOS BRUTOS'!AQ10:CC10)&lt;39,"",AVERAGE(6-'📥 DADOS BRUTOS'!AS10,6-'📥 DADOS BRUTOS'!AZ10,6-'📥 DADOS BRUTOS'!BD10,6-'📥 DADOS BRUTOS'!BG10,6-'📥 DADOS BRUTOS'!BO10,6-'📥 DADOS BRUTOS'!BT10,6-'📥 DADOS BRUTOS'!BY10,6-'📥 DADOS BRUTOS'!CC10))</x:f>
      </x:c>
      <x:c r="I10" s="84" t="str">
        <x:f>IF(COUNT('📥 DADOS BRUTOS'!AQ10:CC10)&lt;39,"",AVERAGE('📥 DADOS BRUTOS'!AT10,'📥 DADOS BRUTOS'!AY10,'📥 DADOS BRUTOS'!BI10,'📥 DADOS BRUTOS'!BK10,'📥 DADOS BRUTOS'!BN10,'📥 DADOS BRUTOS'!BS10,'📥 DADOS BRUTOS'!BW10))</x:f>
      </x:c>
      <x:c r="J10" s="85" t="str">
        <x:f t="shared" si="0">IF(COUNT(E10:I10)&lt;5,"",AVERAGE(E10:I10))</x:f>
      </x:c>
      <x:c r="K10" s="31" t="str">
        <x:f>IF(COUNT('📥 DADOS BRUTOS'!AQ10:CC10)&lt;39,"",SUM('📥 DADOS BRUTOS'!AQ10,'📥 DADOS BRUTOS'!AR10,6-'📥 DADOS BRUTOS'!AS10,'📥 DADOS BRUTOS'!AT10,6-'📥 DADOS BRUTOS'!AU10,'📥 DADOS BRUTOS'!AV10,'📥 DADOS BRUTOS'!AW10,6-'📥 DADOS BRUTOS'!AX10,'📥 DADOS BRUTOS'!AY10,6-'📥 DADOS BRUTOS'!AZ10,'📥 DADOS BRUTOS'!BA10,6-'📥 DADOS BRUTOS'!BB10,6-'📥 DADOS BRUTOS'!BC10,6-'📥 DADOS BRUTOS'!BD10,'📥 DADOS BRUTOS'!BE10,6-'📥 DADOS BRUTOS'!BF10,6-'📥 DADOS BRUTOS'!BG10,6-'📥 DADOS BRUTOS'!BH10,'📥 DADOS BRUTOS'!BI10,'📥 DADOS BRUTOS'!BJ10,'📥 DADOS BRUTOS'!BK10,'📥 DADOS BRUTOS'!BL10,6-'📥 DADOS BRUTOS'!BM10,'📥 DADOS BRUTOS'!BN10,6-'📥 DADOS BRUTOS'!BO10,'📥 DADOS BRUTOS'!BP10,'📥 DADOS BRUTOS'!BQ10,6-'📥 DADOS BRUTOS'!BR10,'📥 DADOS BRUTOS'!BS10,6-'📥 DADOS BRUTOS'!BT10,'📥 DADOS BRUTOS'!BU10,6-'📥 DADOS BRUTOS'!BV10,'📥 DADOS BRUTOS'!BW10,6-'📥 DADOS BRUTOS'!BX10,6-'📥 DADOS BRUTOS'!BY10,'📥 DADOS BRUTOS'!BZ10,'📥 DADOS BRUTOS'!CA10,6-'📥 DADOS BRUTOS'!CB10,6-'📥 DADOS BRUTOS'!CC10))</x:f>
      </x:c>
    </x:row>
    <x:row r="11" ht="18" customHeight="1">
      <x:c r="B11" s="26" t="str">
        <x:f>IF(COUNTA('📥 DADOS BRUTOS'!B11)=0,"",'📥 DADOS BRUTOS'!B11)</x:f>
      </x:c>
      <x:c r="C11" s="26" t="str">
        <x:f>IF(COUNTA('📥 DADOS BRUTOS'!C11)=0,"",'📥 DADOS BRUTOS'!C11)</x:f>
      </x:c>
      <x:c r="D11" s="26" t="str">
        <x:f>IF(COUNTA('📥 DADOS BRUTOS'!D11)=0,"",'📥 DADOS BRUTOS'!D11)</x:f>
      </x:c>
      <x:c r="E11" s="36" t="str">
        <x:f>IF(COUNT('📥 DADOS BRUTOS'!AQ11:CC11)&lt;39,"",AVERAGE('📥 DADOS BRUTOS'!AQ11,'📥 DADOS BRUTOS'!AV11,'📥 DADOS BRUTOS'!BA11,'📥 DADOS BRUTOS'!BE11,'📥 DADOS BRUTOS'!BJ11,'📥 DADOS BRUTOS'!BP11,'📥 DADOS BRUTOS'!BU11,'📥 DADOS BRUTOS'!BZ11))</x:f>
      </x:c>
      <x:c r="F11" s="36" t="str">
        <x:f>IF(COUNT('📥 DADOS BRUTOS'!AQ11:CC11)&lt;39,"",AVERAGE('📥 DADOS BRUTOS'!AR11,'📥 DADOS BRUTOS'!AW11,6-'📥 DADOS BRUTOS'!BB11,6-'📥 DADOS BRUTOS'!BF11,'📥 DADOS BRUTOS'!BL11,'📥 DADOS BRUTOS'!BQ11,6-'📥 DADOS BRUTOS'!BV11,'📥 DADOS BRUTOS'!CA11))</x:f>
      </x:c>
      <x:c r="G11" s="36" t="str">
        <x:f>IF(COUNT('📥 DADOS BRUTOS'!AQ11:CC11)&lt;39,"",AVERAGE(6-'📥 DADOS BRUTOS'!AU11,6-'📥 DADOS BRUTOS'!AX11,6-'📥 DADOS BRUTOS'!BC11,6-'📥 DADOS BRUTOS'!BH11,6-'📥 DADOS BRUTOS'!BM11,6-'📥 DADOS BRUTOS'!BR11,6-'📥 DADOS BRUTOS'!BX11,6-'📥 DADOS BRUTOS'!CB11))</x:f>
      </x:c>
      <x:c r="H11" s="36" t="str">
        <x:f>IF(COUNT('📥 DADOS BRUTOS'!AQ11:CC11)&lt;39,"",AVERAGE(6-'📥 DADOS BRUTOS'!AS11,6-'📥 DADOS BRUTOS'!AZ11,6-'📥 DADOS BRUTOS'!BD11,6-'📥 DADOS BRUTOS'!BG11,6-'📥 DADOS BRUTOS'!BO11,6-'📥 DADOS BRUTOS'!BT11,6-'📥 DADOS BRUTOS'!BY11,6-'📥 DADOS BRUTOS'!CC11))</x:f>
      </x:c>
      <x:c r="I11" s="36" t="str">
        <x:f>IF(COUNT('📥 DADOS BRUTOS'!AQ11:CC11)&lt;39,"",AVERAGE('📥 DADOS BRUTOS'!AT11,'📥 DADOS BRUTOS'!AY11,'📥 DADOS BRUTOS'!BI11,'📥 DADOS BRUTOS'!BK11,'📥 DADOS BRUTOS'!BN11,'📥 DADOS BRUTOS'!BS11,'📥 DADOS BRUTOS'!BW11))</x:f>
      </x:c>
      <x:c r="J11" s="83" t="str">
        <x:f t="shared" si="0">IF(COUNT(E11:I11)&lt;5,"",AVERAGE(E11:I11))</x:f>
      </x:c>
      <x:c r="K11" s="27" t="str">
        <x:f>IF(COUNT('📥 DADOS BRUTOS'!AQ11:CC11)&lt;39,"",SUM('📥 DADOS BRUTOS'!AQ11,'📥 DADOS BRUTOS'!AR11,6-'📥 DADOS BRUTOS'!AS11,'📥 DADOS BRUTOS'!AT11,6-'📥 DADOS BRUTOS'!AU11,'📥 DADOS BRUTOS'!AV11,'📥 DADOS BRUTOS'!AW11,6-'📥 DADOS BRUTOS'!AX11,'📥 DADOS BRUTOS'!AY11,6-'📥 DADOS BRUTOS'!AZ11,'📥 DADOS BRUTOS'!BA11,6-'📥 DADOS BRUTOS'!BB11,6-'📥 DADOS BRUTOS'!BC11,6-'📥 DADOS BRUTOS'!BD11,'📥 DADOS BRUTOS'!BE11,6-'📥 DADOS BRUTOS'!BF11,6-'📥 DADOS BRUTOS'!BG11,6-'📥 DADOS BRUTOS'!BH11,'📥 DADOS BRUTOS'!BI11,'📥 DADOS BRUTOS'!BJ11,'📥 DADOS BRUTOS'!BK11,'📥 DADOS BRUTOS'!BL11,6-'📥 DADOS BRUTOS'!BM11,'📥 DADOS BRUTOS'!BN11,6-'📥 DADOS BRUTOS'!BO11,'📥 DADOS BRUTOS'!BP11,'📥 DADOS BRUTOS'!BQ11,6-'📥 DADOS BRUTOS'!BR11,'📥 DADOS BRUTOS'!BS11,6-'📥 DADOS BRUTOS'!BT11,'📥 DADOS BRUTOS'!BU11,6-'📥 DADOS BRUTOS'!BV11,'📥 DADOS BRUTOS'!BW11,6-'📥 DADOS BRUTOS'!BX11,6-'📥 DADOS BRUTOS'!BY11,'📥 DADOS BRUTOS'!BZ11,'📥 DADOS BRUTOS'!CA11,6-'📥 DADOS BRUTOS'!CB11,6-'📥 DADOS BRUTOS'!CC11))</x:f>
      </x:c>
    </x:row>
    <x:row r="12" ht="18" customHeight="1">
      <x:c r="B12" s="30" t="str">
        <x:f>IF(COUNTA('📥 DADOS BRUTOS'!B12)=0,"",'📥 DADOS BRUTOS'!B12)</x:f>
      </x:c>
      <x:c r="C12" s="30" t="str">
        <x:f>IF(COUNTA('📥 DADOS BRUTOS'!C12)=0,"",'📥 DADOS BRUTOS'!C12)</x:f>
      </x:c>
      <x:c r="D12" s="30" t="str">
        <x:f>IF(COUNTA('📥 DADOS BRUTOS'!D12)=0,"",'📥 DADOS BRUTOS'!D12)</x:f>
      </x:c>
      <x:c r="E12" s="84" t="str">
        <x:f>IF(COUNT('📥 DADOS BRUTOS'!AQ12:CC12)&lt;39,"",AVERAGE('📥 DADOS BRUTOS'!AQ12,'📥 DADOS BRUTOS'!AV12,'📥 DADOS BRUTOS'!BA12,'📥 DADOS BRUTOS'!BE12,'📥 DADOS BRUTOS'!BJ12,'📥 DADOS BRUTOS'!BP12,'📥 DADOS BRUTOS'!BU12,'📥 DADOS BRUTOS'!BZ12))</x:f>
      </x:c>
      <x:c r="F12" s="84" t="str">
        <x:f>IF(COUNT('📥 DADOS BRUTOS'!AQ12:CC12)&lt;39,"",AVERAGE('📥 DADOS BRUTOS'!AR12,'📥 DADOS BRUTOS'!AW12,6-'📥 DADOS BRUTOS'!BB12,6-'📥 DADOS BRUTOS'!BF12,'📥 DADOS BRUTOS'!BL12,'📥 DADOS BRUTOS'!BQ12,6-'📥 DADOS BRUTOS'!BV12,'📥 DADOS BRUTOS'!CA12))</x:f>
      </x:c>
      <x:c r="G12" s="84" t="str">
        <x:f>IF(COUNT('📥 DADOS BRUTOS'!AQ12:CC12)&lt;39,"",AVERAGE(6-'📥 DADOS BRUTOS'!AU12,6-'📥 DADOS BRUTOS'!AX12,6-'📥 DADOS BRUTOS'!BC12,6-'📥 DADOS BRUTOS'!BH12,6-'📥 DADOS BRUTOS'!BM12,6-'📥 DADOS BRUTOS'!BR12,6-'📥 DADOS BRUTOS'!BX12,6-'📥 DADOS BRUTOS'!CB12))</x:f>
      </x:c>
      <x:c r="H12" s="84" t="str">
        <x:f>IF(COUNT('📥 DADOS BRUTOS'!AQ12:CC12)&lt;39,"",AVERAGE(6-'📥 DADOS BRUTOS'!AS12,6-'📥 DADOS BRUTOS'!AZ12,6-'📥 DADOS BRUTOS'!BD12,6-'📥 DADOS BRUTOS'!BG12,6-'📥 DADOS BRUTOS'!BO12,6-'📥 DADOS BRUTOS'!BT12,6-'📥 DADOS BRUTOS'!BY12,6-'📥 DADOS BRUTOS'!CC12))</x:f>
      </x:c>
      <x:c r="I12" s="84" t="str">
        <x:f>IF(COUNT('📥 DADOS BRUTOS'!AQ12:CC12)&lt;39,"",AVERAGE('📥 DADOS BRUTOS'!AT12,'📥 DADOS BRUTOS'!AY12,'📥 DADOS BRUTOS'!BI12,'📥 DADOS BRUTOS'!BK12,'📥 DADOS BRUTOS'!BN12,'📥 DADOS BRUTOS'!BS12,'📥 DADOS BRUTOS'!BW12))</x:f>
      </x:c>
      <x:c r="J12" s="85" t="str">
        <x:f t="shared" si="0">IF(COUNT(E12:I12)&lt;5,"",AVERAGE(E12:I12))</x:f>
      </x:c>
      <x:c r="K12" s="31" t="str">
        <x:f>IF(COUNT('📥 DADOS BRUTOS'!AQ12:CC12)&lt;39,"",SUM('📥 DADOS BRUTOS'!AQ12,'📥 DADOS BRUTOS'!AR12,6-'📥 DADOS BRUTOS'!AS12,'📥 DADOS BRUTOS'!AT12,6-'📥 DADOS BRUTOS'!AU12,'📥 DADOS BRUTOS'!AV12,'📥 DADOS BRUTOS'!AW12,6-'📥 DADOS BRUTOS'!AX12,'📥 DADOS BRUTOS'!AY12,6-'📥 DADOS BRUTOS'!AZ12,'📥 DADOS BRUTOS'!BA12,6-'📥 DADOS BRUTOS'!BB12,6-'📥 DADOS BRUTOS'!BC12,6-'📥 DADOS BRUTOS'!BD12,'📥 DADOS BRUTOS'!BE12,6-'📥 DADOS BRUTOS'!BF12,6-'📥 DADOS BRUTOS'!BG12,6-'📥 DADOS BRUTOS'!BH12,'📥 DADOS BRUTOS'!BI12,'📥 DADOS BRUTOS'!BJ12,'📥 DADOS BRUTOS'!BK12,'📥 DADOS BRUTOS'!BL12,6-'📥 DADOS BRUTOS'!BM12,'📥 DADOS BRUTOS'!BN12,6-'📥 DADOS BRUTOS'!BO12,'📥 DADOS BRUTOS'!BP12,'📥 DADOS BRUTOS'!BQ12,6-'📥 DADOS BRUTOS'!BR12,'📥 DADOS BRUTOS'!BS12,6-'📥 DADOS BRUTOS'!BT12,'📥 DADOS BRUTOS'!BU12,6-'📥 DADOS BRUTOS'!BV12,'📥 DADOS BRUTOS'!BW12,6-'📥 DADOS BRUTOS'!BX12,6-'📥 DADOS BRUTOS'!BY12,'📥 DADOS BRUTOS'!BZ12,'📥 DADOS BRUTOS'!CA12,6-'📥 DADOS BRUTOS'!CB12,6-'📥 DADOS BRUTOS'!CC12))</x:f>
      </x:c>
    </x:row>
    <x:row r="13" ht="18" customHeight="1">
      <x:c r="B13" s="26" t="str">
        <x:f>IF(COUNTA('📥 DADOS BRUTOS'!B13)=0,"",'📥 DADOS BRUTOS'!B13)</x:f>
      </x:c>
      <x:c r="C13" s="26" t="str">
        <x:f>IF(COUNTA('📥 DADOS BRUTOS'!C13)=0,"",'📥 DADOS BRUTOS'!C13)</x:f>
      </x:c>
      <x:c r="D13" s="26" t="str">
        <x:f>IF(COUNTA('📥 DADOS BRUTOS'!D13)=0,"",'📥 DADOS BRUTOS'!D13)</x:f>
      </x:c>
      <x:c r="E13" s="36" t="str">
        <x:f>IF(COUNT('📥 DADOS BRUTOS'!AQ13:CC13)&lt;39,"",AVERAGE('📥 DADOS BRUTOS'!AQ13,'📥 DADOS BRUTOS'!AV13,'📥 DADOS BRUTOS'!BA13,'📥 DADOS BRUTOS'!BE13,'📥 DADOS BRUTOS'!BJ13,'📥 DADOS BRUTOS'!BP13,'📥 DADOS BRUTOS'!BU13,'📥 DADOS BRUTOS'!BZ13))</x:f>
      </x:c>
      <x:c r="F13" s="36" t="str">
        <x:f>IF(COUNT('📥 DADOS BRUTOS'!AQ13:CC13)&lt;39,"",AVERAGE('📥 DADOS BRUTOS'!AR13,'📥 DADOS BRUTOS'!AW13,6-'📥 DADOS BRUTOS'!BB13,6-'📥 DADOS BRUTOS'!BF13,'📥 DADOS BRUTOS'!BL13,'📥 DADOS BRUTOS'!BQ13,6-'📥 DADOS BRUTOS'!BV13,'📥 DADOS BRUTOS'!CA13))</x:f>
      </x:c>
      <x:c r="G13" s="36" t="str">
        <x:f>IF(COUNT('📥 DADOS BRUTOS'!AQ13:CC13)&lt;39,"",AVERAGE(6-'📥 DADOS BRUTOS'!AU13,6-'📥 DADOS BRUTOS'!AX13,6-'📥 DADOS BRUTOS'!BC13,6-'📥 DADOS BRUTOS'!BH13,6-'📥 DADOS BRUTOS'!BM13,6-'📥 DADOS BRUTOS'!BR13,6-'📥 DADOS BRUTOS'!BX13,6-'📥 DADOS BRUTOS'!CB13))</x:f>
      </x:c>
      <x:c r="H13" s="36" t="str">
        <x:f>IF(COUNT('📥 DADOS BRUTOS'!AQ13:CC13)&lt;39,"",AVERAGE(6-'📥 DADOS BRUTOS'!AS13,6-'📥 DADOS BRUTOS'!AZ13,6-'📥 DADOS BRUTOS'!BD13,6-'📥 DADOS BRUTOS'!BG13,6-'📥 DADOS BRUTOS'!BO13,6-'📥 DADOS BRUTOS'!BT13,6-'📥 DADOS BRUTOS'!BY13,6-'📥 DADOS BRUTOS'!CC13))</x:f>
      </x:c>
      <x:c r="I13" s="36" t="str">
        <x:f>IF(COUNT('📥 DADOS BRUTOS'!AQ13:CC13)&lt;39,"",AVERAGE('📥 DADOS BRUTOS'!AT13,'📥 DADOS BRUTOS'!AY13,'📥 DADOS BRUTOS'!BI13,'📥 DADOS BRUTOS'!BK13,'📥 DADOS BRUTOS'!BN13,'📥 DADOS BRUTOS'!BS13,'📥 DADOS BRUTOS'!BW13))</x:f>
      </x:c>
      <x:c r="J13" s="83" t="str">
        <x:f t="shared" si="0">IF(COUNT(E13:I13)&lt;5,"",AVERAGE(E13:I13))</x:f>
      </x:c>
      <x:c r="K13" s="27" t="str">
        <x:f>IF(COUNT('📥 DADOS BRUTOS'!AQ13:CC13)&lt;39,"",SUM('📥 DADOS BRUTOS'!AQ13,'📥 DADOS BRUTOS'!AR13,6-'📥 DADOS BRUTOS'!AS13,'📥 DADOS BRUTOS'!AT13,6-'📥 DADOS BRUTOS'!AU13,'📥 DADOS BRUTOS'!AV13,'📥 DADOS BRUTOS'!AW13,6-'📥 DADOS BRUTOS'!AX13,'📥 DADOS BRUTOS'!AY13,6-'📥 DADOS BRUTOS'!AZ13,'📥 DADOS BRUTOS'!BA13,6-'📥 DADOS BRUTOS'!BB13,6-'📥 DADOS BRUTOS'!BC13,6-'📥 DADOS BRUTOS'!BD13,'📥 DADOS BRUTOS'!BE13,6-'📥 DADOS BRUTOS'!BF13,6-'📥 DADOS BRUTOS'!BG13,6-'📥 DADOS BRUTOS'!BH13,'📥 DADOS BRUTOS'!BI13,'📥 DADOS BRUTOS'!BJ13,'📥 DADOS BRUTOS'!BK13,'📥 DADOS BRUTOS'!BL13,6-'📥 DADOS BRUTOS'!BM13,'📥 DADOS BRUTOS'!BN13,6-'📥 DADOS BRUTOS'!BO13,'📥 DADOS BRUTOS'!BP13,'📥 DADOS BRUTOS'!BQ13,6-'📥 DADOS BRUTOS'!BR13,'📥 DADOS BRUTOS'!BS13,6-'📥 DADOS BRUTOS'!BT13,'📥 DADOS BRUTOS'!BU13,6-'📥 DADOS BRUTOS'!BV13,'📥 DADOS BRUTOS'!BW13,6-'📥 DADOS BRUTOS'!BX13,6-'📥 DADOS BRUTOS'!BY13,'📥 DADOS BRUTOS'!BZ13,'📥 DADOS BRUTOS'!CA13,6-'📥 DADOS BRUTOS'!CB13,6-'📥 DADOS BRUTOS'!CC13))</x:f>
      </x:c>
    </x:row>
    <x:row r="14" ht="18" customHeight="1">
      <x:c r="B14" s="30" t="str">
        <x:f>IF(COUNTA('📥 DADOS BRUTOS'!B14)=0,"",'📥 DADOS BRUTOS'!B14)</x:f>
      </x:c>
      <x:c r="C14" s="30" t="str">
        <x:f>IF(COUNTA('📥 DADOS BRUTOS'!C14)=0,"",'📥 DADOS BRUTOS'!C14)</x:f>
      </x:c>
      <x:c r="D14" s="30" t="str">
        <x:f>IF(COUNTA('📥 DADOS BRUTOS'!D14)=0,"",'📥 DADOS BRUTOS'!D14)</x:f>
      </x:c>
      <x:c r="E14" s="84" t="str">
        <x:f>IF(COUNT('📥 DADOS BRUTOS'!AQ14:CC14)&lt;39,"",AVERAGE('📥 DADOS BRUTOS'!AQ14,'📥 DADOS BRUTOS'!AV14,'📥 DADOS BRUTOS'!BA14,'📥 DADOS BRUTOS'!BE14,'📥 DADOS BRUTOS'!BJ14,'📥 DADOS BRUTOS'!BP14,'📥 DADOS BRUTOS'!BU14,'📥 DADOS BRUTOS'!BZ14))</x:f>
      </x:c>
      <x:c r="F14" s="84" t="str">
        <x:f>IF(COUNT('📥 DADOS BRUTOS'!AQ14:CC14)&lt;39,"",AVERAGE('📥 DADOS BRUTOS'!AR14,'📥 DADOS BRUTOS'!AW14,6-'📥 DADOS BRUTOS'!BB14,6-'📥 DADOS BRUTOS'!BF14,'📥 DADOS BRUTOS'!BL14,'📥 DADOS BRUTOS'!BQ14,6-'📥 DADOS BRUTOS'!BV14,'📥 DADOS BRUTOS'!CA14))</x:f>
      </x:c>
      <x:c r="G14" s="84" t="str">
        <x:f>IF(COUNT('📥 DADOS BRUTOS'!AQ14:CC14)&lt;39,"",AVERAGE(6-'📥 DADOS BRUTOS'!AU14,6-'📥 DADOS BRUTOS'!AX14,6-'📥 DADOS BRUTOS'!BC14,6-'📥 DADOS BRUTOS'!BH14,6-'📥 DADOS BRUTOS'!BM14,6-'📥 DADOS BRUTOS'!BR14,6-'📥 DADOS BRUTOS'!BX14,6-'📥 DADOS BRUTOS'!CB14))</x:f>
      </x:c>
      <x:c r="H14" s="84" t="str">
        <x:f>IF(COUNT('📥 DADOS BRUTOS'!AQ14:CC14)&lt;39,"",AVERAGE(6-'📥 DADOS BRUTOS'!AS14,6-'📥 DADOS BRUTOS'!AZ14,6-'📥 DADOS BRUTOS'!BD14,6-'📥 DADOS BRUTOS'!BG14,6-'📥 DADOS BRUTOS'!BO14,6-'📥 DADOS BRUTOS'!BT14,6-'📥 DADOS BRUTOS'!BY14,6-'📥 DADOS BRUTOS'!CC14))</x:f>
      </x:c>
      <x:c r="I14" s="84" t="str">
        <x:f>IF(COUNT('📥 DADOS BRUTOS'!AQ14:CC14)&lt;39,"",AVERAGE('📥 DADOS BRUTOS'!AT14,'📥 DADOS BRUTOS'!AY14,'📥 DADOS BRUTOS'!BI14,'📥 DADOS BRUTOS'!BK14,'📥 DADOS BRUTOS'!BN14,'📥 DADOS BRUTOS'!BS14,'📥 DADOS BRUTOS'!BW14))</x:f>
      </x:c>
      <x:c r="J14" s="85" t="str">
        <x:f t="shared" si="0">IF(COUNT(E14:I14)&lt;5,"",AVERAGE(E14:I14))</x:f>
      </x:c>
      <x:c r="K14" s="31" t="str">
        <x:f>IF(COUNT('📥 DADOS BRUTOS'!AQ14:CC14)&lt;39,"",SUM('📥 DADOS BRUTOS'!AQ14,'📥 DADOS BRUTOS'!AR14,6-'📥 DADOS BRUTOS'!AS14,'📥 DADOS BRUTOS'!AT14,6-'📥 DADOS BRUTOS'!AU14,'📥 DADOS BRUTOS'!AV14,'📥 DADOS BRUTOS'!AW14,6-'📥 DADOS BRUTOS'!AX14,'📥 DADOS BRUTOS'!AY14,6-'📥 DADOS BRUTOS'!AZ14,'📥 DADOS BRUTOS'!BA14,6-'📥 DADOS BRUTOS'!BB14,6-'📥 DADOS BRUTOS'!BC14,6-'📥 DADOS BRUTOS'!BD14,'📥 DADOS BRUTOS'!BE14,6-'📥 DADOS BRUTOS'!BF14,6-'📥 DADOS BRUTOS'!BG14,6-'📥 DADOS BRUTOS'!BH14,'📥 DADOS BRUTOS'!BI14,'📥 DADOS BRUTOS'!BJ14,'📥 DADOS BRUTOS'!BK14,'📥 DADOS BRUTOS'!BL14,6-'📥 DADOS BRUTOS'!BM14,'📥 DADOS BRUTOS'!BN14,6-'📥 DADOS BRUTOS'!BO14,'📥 DADOS BRUTOS'!BP14,'📥 DADOS BRUTOS'!BQ14,6-'📥 DADOS BRUTOS'!BR14,'📥 DADOS BRUTOS'!BS14,6-'📥 DADOS BRUTOS'!BT14,'📥 DADOS BRUTOS'!BU14,6-'📥 DADOS BRUTOS'!BV14,'📥 DADOS BRUTOS'!BW14,6-'📥 DADOS BRUTOS'!BX14,6-'📥 DADOS BRUTOS'!BY14,'📥 DADOS BRUTOS'!BZ14,'📥 DADOS BRUTOS'!CA14,6-'📥 DADOS BRUTOS'!CB14,6-'📥 DADOS BRUTOS'!CC14))</x:f>
      </x:c>
    </x:row>
    <x:row r="15" ht="18" customHeight="1">
      <x:c r="B15" s="26" t="str">
        <x:f>IF(COUNTA('📥 DADOS BRUTOS'!B15)=0,"",'📥 DADOS BRUTOS'!B15)</x:f>
      </x:c>
      <x:c r="C15" s="26" t="str">
        <x:f>IF(COUNTA('📥 DADOS BRUTOS'!C15)=0,"",'📥 DADOS BRUTOS'!C15)</x:f>
      </x:c>
      <x:c r="D15" s="26" t="str">
        <x:f>IF(COUNTA('📥 DADOS BRUTOS'!D15)=0,"",'📥 DADOS BRUTOS'!D15)</x:f>
      </x:c>
      <x:c r="E15" s="36" t="str">
        <x:f>IF(COUNT('📥 DADOS BRUTOS'!AQ15:CC15)&lt;39,"",AVERAGE('📥 DADOS BRUTOS'!AQ15,'📥 DADOS BRUTOS'!AV15,'📥 DADOS BRUTOS'!BA15,'📥 DADOS BRUTOS'!BE15,'📥 DADOS BRUTOS'!BJ15,'📥 DADOS BRUTOS'!BP15,'📥 DADOS BRUTOS'!BU15,'📥 DADOS BRUTOS'!BZ15))</x:f>
      </x:c>
      <x:c r="F15" s="36" t="str">
        <x:f>IF(COUNT('📥 DADOS BRUTOS'!AQ15:CC15)&lt;39,"",AVERAGE('📥 DADOS BRUTOS'!AR15,'📥 DADOS BRUTOS'!AW15,6-'📥 DADOS BRUTOS'!BB15,6-'📥 DADOS BRUTOS'!BF15,'📥 DADOS BRUTOS'!BL15,'📥 DADOS BRUTOS'!BQ15,6-'📥 DADOS BRUTOS'!BV15,'📥 DADOS BRUTOS'!CA15))</x:f>
      </x:c>
      <x:c r="G15" s="36" t="str">
        <x:f>IF(COUNT('📥 DADOS BRUTOS'!AQ15:CC15)&lt;39,"",AVERAGE(6-'📥 DADOS BRUTOS'!AU15,6-'📥 DADOS BRUTOS'!AX15,6-'📥 DADOS BRUTOS'!BC15,6-'📥 DADOS BRUTOS'!BH15,6-'📥 DADOS BRUTOS'!BM15,6-'📥 DADOS BRUTOS'!BR15,6-'📥 DADOS BRUTOS'!BX15,6-'📥 DADOS BRUTOS'!CB15))</x:f>
      </x:c>
      <x:c r="H15" s="36" t="str">
        <x:f>IF(COUNT('📥 DADOS BRUTOS'!AQ15:CC15)&lt;39,"",AVERAGE(6-'📥 DADOS BRUTOS'!AS15,6-'📥 DADOS BRUTOS'!AZ15,6-'📥 DADOS BRUTOS'!BD15,6-'📥 DADOS BRUTOS'!BG15,6-'📥 DADOS BRUTOS'!BO15,6-'📥 DADOS BRUTOS'!BT15,6-'📥 DADOS BRUTOS'!BY15,6-'📥 DADOS BRUTOS'!CC15))</x:f>
      </x:c>
      <x:c r="I15" s="36" t="str">
        <x:f>IF(COUNT('📥 DADOS BRUTOS'!AQ15:CC15)&lt;39,"",AVERAGE('📥 DADOS BRUTOS'!AT15,'📥 DADOS BRUTOS'!AY15,'📥 DADOS BRUTOS'!BI15,'📥 DADOS BRUTOS'!BK15,'📥 DADOS BRUTOS'!BN15,'📥 DADOS BRUTOS'!BS15,'📥 DADOS BRUTOS'!BW15))</x:f>
      </x:c>
      <x:c r="J15" s="83" t="str">
        <x:f t="shared" si="0">IF(COUNT(E15:I15)&lt;5,"",AVERAGE(E15:I15))</x:f>
      </x:c>
      <x:c r="K15" s="27" t="str">
        <x:f>IF(COUNT('📥 DADOS BRUTOS'!AQ15:CC15)&lt;39,"",SUM('📥 DADOS BRUTOS'!AQ15,'📥 DADOS BRUTOS'!AR15,6-'📥 DADOS BRUTOS'!AS15,'📥 DADOS BRUTOS'!AT15,6-'📥 DADOS BRUTOS'!AU15,'📥 DADOS BRUTOS'!AV15,'📥 DADOS BRUTOS'!AW15,6-'📥 DADOS BRUTOS'!AX15,'📥 DADOS BRUTOS'!AY15,6-'📥 DADOS BRUTOS'!AZ15,'📥 DADOS BRUTOS'!BA15,6-'📥 DADOS BRUTOS'!BB15,6-'📥 DADOS BRUTOS'!BC15,6-'📥 DADOS BRUTOS'!BD15,'📥 DADOS BRUTOS'!BE15,6-'📥 DADOS BRUTOS'!BF15,6-'📥 DADOS BRUTOS'!BG15,6-'📥 DADOS BRUTOS'!BH15,'📥 DADOS BRUTOS'!BI15,'📥 DADOS BRUTOS'!BJ15,'📥 DADOS BRUTOS'!BK15,'📥 DADOS BRUTOS'!BL15,6-'📥 DADOS BRUTOS'!BM15,'📥 DADOS BRUTOS'!BN15,6-'📥 DADOS BRUTOS'!BO15,'📥 DADOS BRUTOS'!BP15,'📥 DADOS BRUTOS'!BQ15,6-'📥 DADOS BRUTOS'!BR15,'📥 DADOS BRUTOS'!BS15,6-'📥 DADOS BRUTOS'!BT15,'📥 DADOS BRUTOS'!BU15,6-'📥 DADOS BRUTOS'!BV15,'📥 DADOS BRUTOS'!BW15,6-'📥 DADOS BRUTOS'!BX15,6-'📥 DADOS BRUTOS'!BY15,'📥 DADOS BRUTOS'!BZ15,'📥 DADOS BRUTOS'!CA15,6-'📥 DADOS BRUTOS'!CB15,6-'📥 DADOS BRUTOS'!CC15))</x:f>
      </x:c>
    </x:row>
    <x:row r="16" ht="18" customHeight="1">
      <x:c r="B16" s="30" t="str">
        <x:f>IF(COUNTA('📥 DADOS BRUTOS'!B16)=0,"",'📥 DADOS BRUTOS'!B16)</x:f>
      </x:c>
      <x:c r="C16" s="30" t="str">
        <x:f>IF(COUNTA('📥 DADOS BRUTOS'!C16)=0,"",'📥 DADOS BRUTOS'!C16)</x:f>
      </x:c>
      <x:c r="D16" s="30" t="str">
        <x:f>IF(COUNTA('📥 DADOS BRUTOS'!D16)=0,"",'📥 DADOS BRUTOS'!D16)</x:f>
      </x:c>
      <x:c r="E16" s="84" t="str">
        <x:f>IF(COUNT('📥 DADOS BRUTOS'!AQ16:CC16)&lt;39,"",AVERAGE('📥 DADOS BRUTOS'!AQ16,'📥 DADOS BRUTOS'!AV16,'📥 DADOS BRUTOS'!BA16,'📥 DADOS BRUTOS'!BE16,'📥 DADOS BRUTOS'!BJ16,'📥 DADOS BRUTOS'!BP16,'📥 DADOS BRUTOS'!BU16,'📥 DADOS BRUTOS'!BZ16))</x:f>
      </x:c>
      <x:c r="F16" s="84" t="str">
        <x:f>IF(COUNT('📥 DADOS BRUTOS'!AQ16:CC16)&lt;39,"",AVERAGE('📥 DADOS BRUTOS'!AR16,'📥 DADOS BRUTOS'!AW16,6-'📥 DADOS BRUTOS'!BB16,6-'📥 DADOS BRUTOS'!BF16,'📥 DADOS BRUTOS'!BL16,'📥 DADOS BRUTOS'!BQ16,6-'📥 DADOS BRUTOS'!BV16,'📥 DADOS BRUTOS'!CA16))</x:f>
      </x:c>
      <x:c r="G16" s="84" t="str">
        <x:f>IF(COUNT('📥 DADOS BRUTOS'!AQ16:CC16)&lt;39,"",AVERAGE(6-'📥 DADOS BRUTOS'!AU16,6-'📥 DADOS BRUTOS'!AX16,6-'📥 DADOS BRUTOS'!BC16,6-'📥 DADOS BRUTOS'!BH16,6-'📥 DADOS BRUTOS'!BM16,6-'📥 DADOS BRUTOS'!BR16,6-'📥 DADOS BRUTOS'!BX16,6-'📥 DADOS BRUTOS'!CB16))</x:f>
      </x:c>
      <x:c r="H16" s="84" t="str">
        <x:f>IF(COUNT('📥 DADOS BRUTOS'!AQ16:CC16)&lt;39,"",AVERAGE(6-'📥 DADOS BRUTOS'!AS16,6-'📥 DADOS BRUTOS'!AZ16,6-'📥 DADOS BRUTOS'!BD16,6-'📥 DADOS BRUTOS'!BG16,6-'📥 DADOS BRUTOS'!BO16,6-'📥 DADOS BRUTOS'!BT16,6-'📥 DADOS BRUTOS'!BY16,6-'📥 DADOS BRUTOS'!CC16))</x:f>
      </x:c>
      <x:c r="I16" s="84" t="str">
        <x:f>IF(COUNT('📥 DADOS BRUTOS'!AQ16:CC16)&lt;39,"",AVERAGE('📥 DADOS BRUTOS'!AT16,'📥 DADOS BRUTOS'!AY16,'📥 DADOS BRUTOS'!BI16,'📥 DADOS BRUTOS'!BK16,'📥 DADOS BRUTOS'!BN16,'📥 DADOS BRUTOS'!BS16,'📥 DADOS BRUTOS'!BW16))</x:f>
      </x:c>
      <x:c r="J16" s="85" t="str">
        <x:f t="shared" si="0">IF(COUNT(E16:I16)&lt;5,"",AVERAGE(E16:I16))</x:f>
      </x:c>
      <x:c r="K16" s="31" t="str">
        <x:f>IF(COUNT('📥 DADOS BRUTOS'!AQ16:CC16)&lt;39,"",SUM('📥 DADOS BRUTOS'!AQ16,'📥 DADOS BRUTOS'!AR16,6-'📥 DADOS BRUTOS'!AS16,'📥 DADOS BRUTOS'!AT16,6-'📥 DADOS BRUTOS'!AU16,'📥 DADOS BRUTOS'!AV16,'📥 DADOS BRUTOS'!AW16,6-'📥 DADOS BRUTOS'!AX16,'📥 DADOS BRUTOS'!AY16,6-'📥 DADOS BRUTOS'!AZ16,'📥 DADOS BRUTOS'!BA16,6-'📥 DADOS BRUTOS'!BB16,6-'📥 DADOS BRUTOS'!BC16,6-'📥 DADOS BRUTOS'!BD16,'📥 DADOS BRUTOS'!BE16,6-'📥 DADOS BRUTOS'!BF16,6-'📥 DADOS BRUTOS'!BG16,6-'📥 DADOS BRUTOS'!BH16,'📥 DADOS BRUTOS'!BI16,'📥 DADOS BRUTOS'!BJ16,'📥 DADOS BRUTOS'!BK16,'📥 DADOS BRUTOS'!BL16,6-'📥 DADOS BRUTOS'!BM16,'📥 DADOS BRUTOS'!BN16,6-'📥 DADOS BRUTOS'!BO16,'📥 DADOS BRUTOS'!BP16,'📥 DADOS BRUTOS'!BQ16,6-'📥 DADOS BRUTOS'!BR16,'📥 DADOS BRUTOS'!BS16,6-'📥 DADOS BRUTOS'!BT16,'📥 DADOS BRUTOS'!BU16,6-'📥 DADOS BRUTOS'!BV16,'📥 DADOS BRUTOS'!BW16,6-'📥 DADOS BRUTOS'!BX16,6-'📥 DADOS BRUTOS'!BY16,'📥 DADOS BRUTOS'!BZ16,'📥 DADOS BRUTOS'!CA16,6-'📥 DADOS BRUTOS'!CB16,6-'📥 DADOS BRUTOS'!CC16))</x:f>
      </x:c>
    </x:row>
    <x:row r="17" ht="18" customHeight="1">
      <x:c r="B17" s="26" t="str">
        <x:f>IF(COUNTA('📥 DADOS BRUTOS'!B17)=0,"",'📥 DADOS BRUTOS'!B17)</x:f>
      </x:c>
      <x:c r="C17" s="26" t="str">
        <x:f>IF(COUNTA('📥 DADOS BRUTOS'!C17)=0,"",'📥 DADOS BRUTOS'!C17)</x:f>
      </x:c>
      <x:c r="D17" s="26" t="str">
        <x:f>IF(COUNTA('📥 DADOS BRUTOS'!D17)=0,"",'📥 DADOS BRUTOS'!D17)</x:f>
      </x:c>
      <x:c r="E17" s="36" t="str">
        <x:f>IF(COUNT('📥 DADOS BRUTOS'!AQ17:CC17)&lt;39,"",AVERAGE('📥 DADOS BRUTOS'!AQ17,'📥 DADOS BRUTOS'!AV17,'📥 DADOS BRUTOS'!BA17,'📥 DADOS BRUTOS'!BE17,'📥 DADOS BRUTOS'!BJ17,'📥 DADOS BRUTOS'!BP17,'📥 DADOS BRUTOS'!BU17,'📥 DADOS BRUTOS'!BZ17))</x:f>
      </x:c>
      <x:c r="F17" s="36" t="str">
        <x:f>IF(COUNT('📥 DADOS BRUTOS'!AQ17:CC17)&lt;39,"",AVERAGE('📥 DADOS BRUTOS'!AR17,'📥 DADOS BRUTOS'!AW17,6-'📥 DADOS BRUTOS'!BB17,6-'📥 DADOS BRUTOS'!BF17,'📥 DADOS BRUTOS'!BL17,'📥 DADOS BRUTOS'!BQ17,6-'📥 DADOS BRUTOS'!BV17,'📥 DADOS BRUTOS'!CA17))</x:f>
      </x:c>
      <x:c r="G17" s="36" t="str">
        <x:f>IF(COUNT('📥 DADOS BRUTOS'!AQ17:CC17)&lt;39,"",AVERAGE(6-'📥 DADOS BRUTOS'!AU17,6-'📥 DADOS BRUTOS'!AX17,6-'📥 DADOS BRUTOS'!BC17,6-'📥 DADOS BRUTOS'!BH17,6-'📥 DADOS BRUTOS'!BM17,6-'📥 DADOS BRUTOS'!BR17,6-'📥 DADOS BRUTOS'!BX17,6-'📥 DADOS BRUTOS'!CB17))</x:f>
      </x:c>
      <x:c r="H17" s="36" t="str">
        <x:f>IF(COUNT('📥 DADOS BRUTOS'!AQ17:CC17)&lt;39,"",AVERAGE(6-'📥 DADOS BRUTOS'!AS17,6-'📥 DADOS BRUTOS'!AZ17,6-'📥 DADOS BRUTOS'!BD17,6-'📥 DADOS BRUTOS'!BG17,6-'📥 DADOS BRUTOS'!BO17,6-'📥 DADOS BRUTOS'!BT17,6-'📥 DADOS BRUTOS'!BY17,6-'📥 DADOS BRUTOS'!CC17))</x:f>
      </x:c>
      <x:c r="I17" s="36" t="str">
        <x:f>IF(COUNT('📥 DADOS BRUTOS'!AQ17:CC17)&lt;39,"",AVERAGE('📥 DADOS BRUTOS'!AT17,'📥 DADOS BRUTOS'!AY17,'📥 DADOS BRUTOS'!BI17,'📥 DADOS BRUTOS'!BK17,'📥 DADOS BRUTOS'!BN17,'📥 DADOS BRUTOS'!BS17,'📥 DADOS BRUTOS'!BW17))</x:f>
      </x:c>
      <x:c r="J17" s="83" t="str">
        <x:f t="shared" si="0">IF(COUNT(E17:I17)&lt;5,"",AVERAGE(E17:I17))</x:f>
      </x:c>
      <x:c r="K17" s="27" t="str">
        <x:f>IF(COUNT('📥 DADOS BRUTOS'!AQ17:CC17)&lt;39,"",SUM('📥 DADOS BRUTOS'!AQ17,'📥 DADOS BRUTOS'!AR17,6-'📥 DADOS BRUTOS'!AS17,'📥 DADOS BRUTOS'!AT17,6-'📥 DADOS BRUTOS'!AU17,'📥 DADOS BRUTOS'!AV17,'📥 DADOS BRUTOS'!AW17,6-'📥 DADOS BRUTOS'!AX17,'📥 DADOS BRUTOS'!AY17,6-'📥 DADOS BRUTOS'!AZ17,'📥 DADOS BRUTOS'!BA17,6-'📥 DADOS BRUTOS'!BB17,6-'📥 DADOS BRUTOS'!BC17,6-'📥 DADOS BRUTOS'!BD17,'📥 DADOS BRUTOS'!BE17,6-'📥 DADOS BRUTOS'!BF17,6-'📥 DADOS BRUTOS'!BG17,6-'📥 DADOS BRUTOS'!BH17,'📥 DADOS BRUTOS'!BI17,'📥 DADOS BRUTOS'!BJ17,'📥 DADOS BRUTOS'!BK17,'📥 DADOS BRUTOS'!BL17,6-'📥 DADOS BRUTOS'!BM17,'📥 DADOS BRUTOS'!BN17,6-'📥 DADOS BRUTOS'!BO17,'📥 DADOS BRUTOS'!BP17,'📥 DADOS BRUTOS'!BQ17,6-'📥 DADOS BRUTOS'!BR17,'📥 DADOS BRUTOS'!BS17,6-'📥 DADOS BRUTOS'!BT17,'📥 DADOS BRUTOS'!BU17,6-'📥 DADOS BRUTOS'!BV17,'📥 DADOS BRUTOS'!BW17,6-'📥 DADOS BRUTOS'!BX17,6-'📥 DADOS BRUTOS'!BY17,'📥 DADOS BRUTOS'!BZ17,'📥 DADOS BRUTOS'!CA17,6-'📥 DADOS BRUTOS'!CB17,6-'📥 DADOS BRUTOS'!CC17))</x:f>
      </x:c>
    </x:row>
    <x:row r="18" ht="18" customHeight="1">
      <x:c r="B18" s="30" t="str">
        <x:f>IF(COUNTA('📥 DADOS BRUTOS'!B18)=0,"",'📥 DADOS BRUTOS'!B18)</x:f>
      </x:c>
      <x:c r="C18" s="30" t="str">
        <x:f>IF(COUNTA('📥 DADOS BRUTOS'!C18)=0,"",'📥 DADOS BRUTOS'!C18)</x:f>
      </x:c>
      <x:c r="D18" s="30" t="str">
        <x:f>IF(COUNTA('📥 DADOS BRUTOS'!D18)=0,"",'📥 DADOS BRUTOS'!D18)</x:f>
      </x:c>
      <x:c r="E18" s="84" t="str">
        <x:f>IF(COUNT('📥 DADOS BRUTOS'!AQ18:CC18)&lt;39,"",AVERAGE('📥 DADOS BRUTOS'!AQ18,'📥 DADOS BRUTOS'!AV18,'📥 DADOS BRUTOS'!BA18,'📥 DADOS BRUTOS'!BE18,'📥 DADOS BRUTOS'!BJ18,'📥 DADOS BRUTOS'!BP18,'📥 DADOS BRUTOS'!BU18,'📥 DADOS BRUTOS'!BZ18))</x:f>
      </x:c>
      <x:c r="F18" s="84" t="str">
        <x:f>IF(COUNT('📥 DADOS BRUTOS'!AQ18:CC18)&lt;39,"",AVERAGE('📥 DADOS BRUTOS'!AR18,'📥 DADOS BRUTOS'!AW18,6-'📥 DADOS BRUTOS'!BB18,6-'📥 DADOS BRUTOS'!BF18,'📥 DADOS BRUTOS'!BL18,'📥 DADOS BRUTOS'!BQ18,6-'📥 DADOS BRUTOS'!BV18,'📥 DADOS BRUTOS'!CA18))</x:f>
      </x:c>
      <x:c r="G18" s="84" t="str">
        <x:f>IF(COUNT('📥 DADOS BRUTOS'!AQ18:CC18)&lt;39,"",AVERAGE(6-'📥 DADOS BRUTOS'!AU18,6-'📥 DADOS BRUTOS'!AX18,6-'📥 DADOS BRUTOS'!BC18,6-'📥 DADOS BRUTOS'!BH18,6-'📥 DADOS BRUTOS'!BM18,6-'📥 DADOS BRUTOS'!BR18,6-'📥 DADOS BRUTOS'!BX18,6-'📥 DADOS BRUTOS'!CB18))</x:f>
      </x:c>
      <x:c r="H18" s="84" t="str">
        <x:f>IF(COUNT('📥 DADOS BRUTOS'!AQ18:CC18)&lt;39,"",AVERAGE(6-'📥 DADOS BRUTOS'!AS18,6-'📥 DADOS BRUTOS'!AZ18,6-'📥 DADOS BRUTOS'!BD18,6-'📥 DADOS BRUTOS'!BG18,6-'📥 DADOS BRUTOS'!BO18,6-'📥 DADOS BRUTOS'!BT18,6-'📥 DADOS BRUTOS'!BY18,6-'📥 DADOS BRUTOS'!CC18))</x:f>
      </x:c>
      <x:c r="I18" s="84" t="str">
        <x:f>IF(COUNT('📥 DADOS BRUTOS'!AQ18:CC18)&lt;39,"",AVERAGE('📥 DADOS BRUTOS'!AT18,'📥 DADOS BRUTOS'!AY18,'📥 DADOS BRUTOS'!BI18,'📥 DADOS BRUTOS'!BK18,'📥 DADOS BRUTOS'!BN18,'📥 DADOS BRUTOS'!BS18,'📥 DADOS BRUTOS'!BW18))</x:f>
      </x:c>
      <x:c r="J18" s="85" t="str">
        <x:f t="shared" si="0">IF(COUNT(E18:I18)&lt;5,"",AVERAGE(E18:I18))</x:f>
      </x:c>
      <x:c r="K18" s="31" t="str">
        <x:f>IF(COUNT('📥 DADOS BRUTOS'!AQ18:CC18)&lt;39,"",SUM('📥 DADOS BRUTOS'!AQ18,'📥 DADOS BRUTOS'!AR18,6-'📥 DADOS BRUTOS'!AS18,'📥 DADOS BRUTOS'!AT18,6-'📥 DADOS BRUTOS'!AU18,'📥 DADOS BRUTOS'!AV18,'📥 DADOS BRUTOS'!AW18,6-'📥 DADOS BRUTOS'!AX18,'📥 DADOS BRUTOS'!AY18,6-'📥 DADOS BRUTOS'!AZ18,'📥 DADOS BRUTOS'!BA18,6-'📥 DADOS BRUTOS'!BB18,6-'📥 DADOS BRUTOS'!BC18,6-'📥 DADOS BRUTOS'!BD18,'📥 DADOS BRUTOS'!BE18,6-'📥 DADOS BRUTOS'!BF18,6-'📥 DADOS BRUTOS'!BG18,6-'📥 DADOS BRUTOS'!BH18,'📥 DADOS BRUTOS'!BI18,'📥 DADOS BRUTOS'!BJ18,'📥 DADOS BRUTOS'!BK18,'📥 DADOS BRUTOS'!BL18,6-'📥 DADOS BRUTOS'!BM18,'📥 DADOS BRUTOS'!BN18,6-'📥 DADOS BRUTOS'!BO18,'📥 DADOS BRUTOS'!BP18,'📥 DADOS BRUTOS'!BQ18,6-'📥 DADOS BRUTOS'!BR18,'📥 DADOS BRUTOS'!BS18,6-'📥 DADOS BRUTOS'!BT18,'📥 DADOS BRUTOS'!BU18,6-'📥 DADOS BRUTOS'!BV18,'📥 DADOS BRUTOS'!BW18,6-'📥 DADOS BRUTOS'!BX18,6-'📥 DADOS BRUTOS'!BY18,'📥 DADOS BRUTOS'!BZ18,'📥 DADOS BRUTOS'!CA18,6-'📥 DADOS BRUTOS'!CB18,6-'📥 DADOS BRUTOS'!CC18))</x:f>
      </x:c>
    </x:row>
    <x:row r="19" ht="18" customHeight="1">
      <x:c r="B19" s="26" t="str">
        <x:f>IF(COUNTA('📥 DADOS BRUTOS'!B19)=0,"",'📥 DADOS BRUTOS'!B19)</x:f>
      </x:c>
      <x:c r="C19" s="26" t="str">
        <x:f>IF(COUNTA('📥 DADOS BRUTOS'!C19)=0,"",'📥 DADOS BRUTOS'!C19)</x:f>
      </x:c>
      <x:c r="D19" s="26" t="str">
        <x:f>IF(COUNTA('📥 DADOS BRUTOS'!D19)=0,"",'📥 DADOS BRUTOS'!D19)</x:f>
      </x:c>
      <x:c r="E19" s="36" t="str">
        <x:f>IF(COUNT('📥 DADOS BRUTOS'!AQ19:CC19)&lt;39,"",AVERAGE('📥 DADOS BRUTOS'!AQ19,'📥 DADOS BRUTOS'!AV19,'📥 DADOS BRUTOS'!BA19,'📥 DADOS BRUTOS'!BE19,'📥 DADOS BRUTOS'!BJ19,'📥 DADOS BRUTOS'!BP19,'📥 DADOS BRUTOS'!BU19,'📥 DADOS BRUTOS'!BZ19))</x:f>
      </x:c>
      <x:c r="F19" s="36" t="str">
        <x:f>IF(COUNT('📥 DADOS BRUTOS'!AQ19:CC19)&lt;39,"",AVERAGE('📥 DADOS BRUTOS'!AR19,'📥 DADOS BRUTOS'!AW19,6-'📥 DADOS BRUTOS'!BB19,6-'📥 DADOS BRUTOS'!BF19,'📥 DADOS BRUTOS'!BL19,'📥 DADOS BRUTOS'!BQ19,6-'📥 DADOS BRUTOS'!BV19,'📥 DADOS BRUTOS'!CA19))</x:f>
      </x:c>
      <x:c r="G19" s="36" t="str">
        <x:f>IF(COUNT('📥 DADOS BRUTOS'!AQ19:CC19)&lt;39,"",AVERAGE(6-'📥 DADOS BRUTOS'!AU19,6-'📥 DADOS BRUTOS'!AX19,6-'📥 DADOS BRUTOS'!BC19,6-'📥 DADOS BRUTOS'!BH19,6-'📥 DADOS BRUTOS'!BM19,6-'📥 DADOS BRUTOS'!BR19,6-'📥 DADOS BRUTOS'!BX19,6-'📥 DADOS BRUTOS'!CB19))</x:f>
      </x:c>
      <x:c r="H19" s="36" t="str">
        <x:f>IF(COUNT('📥 DADOS BRUTOS'!AQ19:CC19)&lt;39,"",AVERAGE(6-'📥 DADOS BRUTOS'!AS19,6-'📥 DADOS BRUTOS'!AZ19,6-'📥 DADOS BRUTOS'!BD19,6-'📥 DADOS BRUTOS'!BG19,6-'📥 DADOS BRUTOS'!BO19,6-'📥 DADOS BRUTOS'!BT19,6-'📥 DADOS BRUTOS'!BY19,6-'📥 DADOS BRUTOS'!CC19))</x:f>
      </x:c>
      <x:c r="I19" s="36" t="str">
        <x:f>IF(COUNT('📥 DADOS BRUTOS'!AQ19:CC19)&lt;39,"",AVERAGE('📥 DADOS BRUTOS'!AT19,'📥 DADOS BRUTOS'!AY19,'📥 DADOS BRUTOS'!BI19,'📥 DADOS BRUTOS'!BK19,'📥 DADOS BRUTOS'!BN19,'📥 DADOS BRUTOS'!BS19,'📥 DADOS BRUTOS'!BW19))</x:f>
      </x:c>
      <x:c r="J19" s="83" t="str">
        <x:f t="shared" si="0">IF(COUNT(E19:I19)&lt;5,"",AVERAGE(E19:I19))</x:f>
      </x:c>
      <x:c r="K19" s="27" t="str">
        <x:f>IF(COUNT('📥 DADOS BRUTOS'!AQ19:CC19)&lt;39,"",SUM('📥 DADOS BRUTOS'!AQ19,'📥 DADOS BRUTOS'!AR19,6-'📥 DADOS BRUTOS'!AS19,'📥 DADOS BRUTOS'!AT19,6-'📥 DADOS BRUTOS'!AU19,'📥 DADOS BRUTOS'!AV19,'📥 DADOS BRUTOS'!AW19,6-'📥 DADOS BRUTOS'!AX19,'📥 DADOS BRUTOS'!AY19,6-'📥 DADOS BRUTOS'!AZ19,'📥 DADOS BRUTOS'!BA19,6-'📥 DADOS BRUTOS'!BB19,6-'📥 DADOS BRUTOS'!BC19,6-'📥 DADOS BRUTOS'!BD19,'📥 DADOS BRUTOS'!BE19,6-'📥 DADOS BRUTOS'!BF19,6-'📥 DADOS BRUTOS'!BG19,6-'📥 DADOS BRUTOS'!BH19,'📥 DADOS BRUTOS'!BI19,'📥 DADOS BRUTOS'!BJ19,'📥 DADOS BRUTOS'!BK19,'📥 DADOS BRUTOS'!BL19,6-'📥 DADOS BRUTOS'!BM19,'📥 DADOS BRUTOS'!BN19,6-'📥 DADOS BRUTOS'!BO19,'📥 DADOS BRUTOS'!BP19,'📥 DADOS BRUTOS'!BQ19,6-'📥 DADOS BRUTOS'!BR19,'📥 DADOS BRUTOS'!BS19,6-'📥 DADOS BRUTOS'!BT19,'📥 DADOS BRUTOS'!BU19,6-'📥 DADOS BRUTOS'!BV19,'📥 DADOS BRUTOS'!BW19,6-'📥 DADOS BRUTOS'!BX19,6-'📥 DADOS BRUTOS'!BY19,'📥 DADOS BRUTOS'!BZ19,'📥 DADOS BRUTOS'!CA19,6-'📥 DADOS BRUTOS'!CB19,6-'📥 DADOS BRUTOS'!CC19))</x:f>
      </x:c>
    </x:row>
    <x:row r="20" ht="18" customHeight="1">
      <x:c r="B20" s="30" t="str">
        <x:f>IF(COUNTA('📥 DADOS BRUTOS'!B20)=0,"",'📥 DADOS BRUTOS'!B20)</x:f>
      </x:c>
      <x:c r="C20" s="30" t="str">
        <x:f>IF(COUNTA('📥 DADOS BRUTOS'!C20)=0,"",'📥 DADOS BRUTOS'!C20)</x:f>
      </x:c>
      <x:c r="D20" s="30" t="str">
        <x:f>IF(COUNTA('📥 DADOS BRUTOS'!D20)=0,"",'📥 DADOS BRUTOS'!D20)</x:f>
      </x:c>
      <x:c r="E20" s="84" t="str">
        <x:f>IF(COUNT('📥 DADOS BRUTOS'!AQ20:CC20)&lt;39,"",AVERAGE('📥 DADOS BRUTOS'!AQ20,'📥 DADOS BRUTOS'!AV20,'📥 DADOS BRUTOS'!BA20,'📥 DADOS BRUTOS'!BE20,'📥 DADOS BRUTOS'!BJ20,'📥 DADOS BRUTOS'!BP20,'📥 DADOS BRUTOS'!BU20,'📥 DADOS BRUTOS'!BZ20))</x:f>
      </x:c>
      <x:c r="F20" s="84" t="str">
        <x:f>IF(COUNT('📥 DADOS BRUTOS'!AQ20:CC20)&lt;39,"",AVERAGE('📥 DADOS BRUTOS'!AR20,'📥 DADOS BRUTOS'!AW20,6-'📥 DADOS BRUTOS'!BB20,6-'📥 DADOS BRUTOS'!BF20,'📥 DADOS BRUTOS'!BL20,'📥 DADOS BRUTOS'!BQ20,6-'📥 DADOS BRUTOS'!BV20,'📥 DADOS BRUTOS'!CA20))</x:f>
      </x:c>
      <x:c r="G20" s="84" t="str">
        <x:f>IF(COUNT('📥 DADOS BRUTOS'!AQ20:CC20)&lt;39,"",AVERAGE(6-'📥 DADOS BRUTOS'!AU20,6-'📥 DADOS BRUTOS'!AX20,6-'📥 DADOS BRUTOS'!BC20,6-'📥 DADOS BRUTOS'!BH20,6-'📥 DADOS BRUTOS'!BM20,6-'📥 DADOS BRUTOS'!BR20,6-'📥 DADOS BRUTOS'!BX20,6-'📥 DADOS BRUTOS'!CB20))</x:f>
      </x:c>
      <x:c r="H20" s="84" t="str">
        <x:f>IF(COUNT('📥 DADOS BRUTOS'!AQ20:CC20)&lt;39,"",AVERAGE(6-'📥 DADOS BRUTOS'!AS20,6-'📥 DADOS BRUTOS'!AZ20,6-'📥 DADOS BRUTOS'!BD20,6-'📥 DADOS BRUTOS'!BG20,6-'📥 DADOS BRUTOS'!BO20,6-'📥 DADOS BRUTOS'!BT20,6-'📥 DADOS BRUTOS'!BY20,6-'📥 DADOS BRUTOS'!CC20))</x:f>
      </x:c>
      <x:c r="I20" s="84" t="str">
        <x:f>IF(COUNT('📥 DADOS BRUTOS'!AQ20:CC20)&lt;39,"",AVERAGE('📥 DADOS BRUTOS'!AT20,'📥 DADOS BRUTOS'!AY20,'📥 DADOS BRUTOS'!BI20,'📥 DADOS BRUTOS'!BK20,'📥 DADOS BRUTOS'!BN20,'📥 DADOS BRUTOS'!BS20,'📥 DADOS BRUTOS'!BW20))</x:f>
      </x:c>
      <x:c r="J20" s="85" t="str">
        <x:f t="shared" si="0">IF(COUNT(E20:I20)&lt;5,"",AVERAGE(E20:I20))</x:f>
      </x:c>
      <x:c r="K20" s="31" t="str">
        <x:f>IF(COUNT('📥 DADOS BRUTOS'!AQ20:CC20)&lt;39,"",SUM('📥 DADOS BRUTOS'!AQ20,'📥 DADOS BRUTOS'!AR20,6-'📥 DADOS BRUTOS'!AS20,'📥 DADOS BRUTOS'!AT20,6-'📥 DADOS BRUTOS'!AU20,'📥 DADOS BRUTOS'!AV20,'📥 DADOS BRUTOS'!AW20,6-'📥 DADOS BRUTOS'!AX20,'📥 DADOS BRUTOS'!AY20,6-'📥 DADOS BRUTOS'!AZ20,'📥 DADOS BRUTOS'!BA20,6-'📥 DADOS BRUTOS'!BB20,6-'📥 DADOS BRUTOS'!BC20,6-'📥 DADOS BRUTOS'!BD20,'📥 DADOS BRUTOS'!BE20,6-'📥 DADOS BRUTOS'!BF20,6-'📥 DADOS BRUTOS'!BG20,6-'📥 DADOS BRUTOS'!BH20,'📥 DADOS BRUTOS'!BI20,'📥 DADOS BRUTOS'!BJ20,'📥 DADOS BRUTOS'!BK20,'📥 DADOS BRUTOS'!BL20,6-'📥 DADOS BRUTOS'!BM20,'📥 DADOS BRUTOS'!BN20,6-'📥 DADOS BRUTOS'!BO20,'📥 DADOS BRUTOS'!BP20,'📥 DADOS BRUTOS'!BQ20,6-'📥 DADOS BRUTOS'!BR20,'📥 DADOS BRUTOS'!BS20,6-'📥 DADOS BRUTOS'!BT20,'📥 DADOS BRUTOS'!BU20,6-'📥 DADOS BRUTOS'!BV20,'📥 DADOS BRUTOS'!BW20,6-'📥 DADOS BRUTOS'!BX20,6-'📥 DADOS BRUTOS'!BY20,'📥 DADOS BRUTOS'!BZ20,'📥 DADOS BRUTOS'!CA20,6-'📥 DADOS BRUTOS'!CB20,6-'📥 DADOS BRUTOS'!CC20))</x:f>
      </x:c>
    </x:row>
    <x:row r="21" ht="18" customHeight="1">
      <x:c r="B21" s="26" t="str">
        <x:f>IF(COUNTA('📥 DADOS BRUTOS'!B21)=0,"",'📥 DADOS BRUTOS'!B21)</x:f>
      </x:c>
      <x:c r="C21" s="26" t="str">
        <x:f>IF(COUNTA('📥 DADOS BRUTOS'!C21)=0,"",'📥 DADOS BRUTOS'!C21)</x:f>
      </x:c>
      <x:c r="D21" s="26" t="str">
        <x:f>IF(COUNTA('📥 DADOS BRUTOS'!D21)=0,"",'📥 DADOS BRUTOS'!D21)</x:f>
      </x:c>
      <x:c r="E21" s="36" t="str">
        <x:f>IF(COUNT('📥 DADOS BRUTOS'!AQ21:CC21)&lt;39,"",AVERAGE('📥 DADOS BRUTOS'!AQ21,'📥 DADOS BRUTOS'!AV21,'📥 DADOS BRUTOS'!BA21,'📥 DADOS BRUTOS'!BE21,'📥 DADOS BRUTOS'!BJ21,'📥 DADOS BRUTOS'!BP21,'📥 DADOS BRUTOS'!BU21,'📥 DADOS BRUTOS'!BZ21))</x:f>
      </x:c>
      <x:c r="F21" s="36" t="str">
        <x:f>IF(COUNT('📥 DADOS BRUTOS'!AQ21:CC21)&lt;39,"",AVERAGE('📥 DADOS BRUTOS'!AR21,'📥 DADOS BRUTOS'!AW21,6-'📥 DADOS BRUTOS'!BB21,6-'📥 DADOS BRUTOS'!BF21,'📥 DADOS BRUTOS'!BL21,'📥 DADOS BRUTOS'!BQ21,6-'📥 DADOS BRUTOS'!BV21,'📥 DADOS BRUTOS'!CA21))</x:f>
      </x:c>
      <x:c r="G21" s="36" t="str">
        <x:f>IF(COUNT('📥 DADOS BRUTOS'!AQ21:CC21)&lt;39,"",AVERAGE(6-'📥 DADOS BRUTOS'!AU21,6-'📥 DADOS BRUTOS'!AX21,6-'📥 DADOS BRUTOS'!BC21,6-'📥 DADOS BRUTOS'!BH21,6-'📥 DADOS BRUTOS'!BM21,6-'📥 DADOS BRUTOS'!BR21,6-'📥 DADOS BRUTOS'!BX21,6-'📥 DADOS BRUTOS'!CB21))</x:f>
      </x:c>
      <x:c r="H21" s="36" t="str">
        <x:f>IF(COUNT('📥 DADOS BRUTOS'!AQ21:CC21)&lt;39,"",AVERAGE(6-'📥 DADOS BRUTOS'!AS21,6-'📥 DADOS BRUTOS'!AZ21,6-'📥 DADOS BRUTOS'!BD21,6-'📥 DADOS BRUTOS'!BG21,6-'📥 DADOS BRUTOS'!BO21,6-'📥 DADOS BRUTOS'!BT21,6-'📥 DADOS BRUTOS'!BY21,6-'📥 DADOS BRUTOS'!CC21))</x:f>
      </x:c>
      <x:c r="I21" s="36" t="str">
        <x:f>IF(COUNT('📥 DADOS BRUTOS'!AQ21:CC21)&lt;39,"",AVERAGE('📥 DADOS BRUTOS'!AT21,'📥 DADOS BRUTOS'!AY21,'📥 DADOS BRUTOS'!BI21,'📥 DADOS BRUTOS'!BK21,'📥 DADOS BRUTOS'!BN21,'📥 DADOS BRUTOS'!BS21,'📥 DADOS BRUTOS'!BW21))</x:f>
      </x:c>
      <x:c r="J21" s="83" t="str">
        <x:f t="shared" si="0">IF(COUNT(E21:I21)&lt;5,"",AVERAGE(E21:I21))</x:f>
      </x:c>
      <x:c r="K21" s="27" t="str">
        <x:f>IF(COUNT('📥 DADOS BRUTOS'!AQ21:CC21)&lt;39,"",SUM('📥 DADOS BRUTOS'!AQ21,'📥 DADOS BRUTOS'!AR21,6-'📥 DADOS BRUTOS'!AS21,'📥 DADOS BRUTOS'!AT21,6-'📥 DADOS BRUTOS'!AU21,'📥 DADOS BRUTOS'!AV21,'📥 DADOS BRUTOS'!AW21,6-'📥 DADOS BRUTOS'!AX21,'📥 DADOS BRUTOS'!AY21,6-'📥 DADOS BRUTOS'!AZ21,'📥 DADOS BRUTOS'!BA21,6-'📥 DADOS BRUTOS'!BB21,6-'📥 DADOS BRUTOS'!BC21,6-'📥 DADOS BRUTOS'!BD21,'📥 DADOS BRUTOS'!BE21,6-'📥 DADOS BRUTOS'!BF21,6-'📥 DADOS BRUTOS'!BG21,6-'📥 DADOS BRUTOS'!BH21,'📥 DADOS BRUTOS'!BI21,'📥 DADOS BRUTOS'!BJ21,'📥 DADOS BRUTOS'!BK21,'📥 DADOS BRUTOS'!BL21,6-'📥 DADOS BRUTOS'!BM21,'📥 DADOS BRUTOS'!BN21,6-'📥 DADOS BRUTOS'!BO21,'📥 DADOS BRUTOS'!BP21,'📥 DADOS BRUTOS'!BQ21,6-'📥 DADOS BRUTOS'!BR21,'📥 DADOS BRUTOS'!BS21,6-'📥 DADOS BRUTOS'!BT21,'📥 DADOS BRUTOS'!BU21,6-'📥 DADOS BRUTOS'!BV21,'📥 DADOS BRUTOS'!BW21,6-'📥 DADOS BRUTOS'!BX21,6-'📥 DADOS BRUTOS'!BY21,'📥 DADOS BRUTOS'!BZ21,'📥 DADOS BRUTOS'!CA21,6-'📥 DADOS BRUTOS'!CB21,6-'📥 DADOS BRUTOS'!CC21))</x:f>
      </x:c>
    </x:row>
    <x:row r="22" ht="18" customHeight="1">
      <x:c r="B22" s="30" t="str">
        <x:f>IF(COUNTA('📥 DADOS BRUTOS'!B22)=0,"",'📥 DADOS BRUTOS'!B22)</x:f>
      </x:c>
      <x:c r="C22" s="30" t="str">
        <x:f>IF(COUNTA('📥 DADOS BRUTOS'!C22)=0,"",'📥 DADOS BRUTOS'!C22)</x:f>
      </x:c>
      <x:c r="D22" s="30" t="str">
        <x:f>IF(COUNTA('📥 DADOS BRUTOS'!D22)=0,"",'📥 DADOS BRUTOS'!D22)</x:f>
      </x:c>
      <x:c r="E22" s="84" t="str">
        <x:f>IF(COUNT('📥 DADOS BRUTOS'!AQ22:CC22)&lt;39,"",AVERAGE('📥 DADOS BRUTOS'!AQ22,'📥 DADOS BRUTOS'!AV22,'📥 DADOS BRUTOS'!BA22,'📥 DADOS BRUTOS'!BE22,'📥 DADOS BRUTOS'!BJ22,'📥 DADOS BRUTOS'!BP22,'📥 DADOS BRUTOS'!BU22,'📥 DADOS BRUTOS'!BZ22))</x:f>
      </x:c>
      <x:c r="F22" s="84" t="str">
        <x:f>IF(COUNT('📥 DADOS BRUTOS'!AQ22:CC22)&lt;39,"",AVERAGE('📥 DADOS BRUTOS'!AR22,'📥 DADOS BRUTOS'!AW22,6-'📥 DADOS BRUTOS'!BB22,6-'📥 DADOS BRUTOS'!BF22,'📥 DADOS BRUTOS'!BL22,'📥 DADOS BRUTOS'!BQ22,6-'📥 DADOS BRUTOS'!BV22,'📥 DADOS BRUTOS'!CA22))</x:f>
      </x:c>
      <x:c r="G22" s="84" t="str">
        <x:f>IF(COUNT('📥 DADOS BRUTOS'!AQ22:CC22)&lt;39,"",AVERAGE(6-'📥 DADOS BRUTOS'!AU22,6-'📥 DADOS BRUTOS'!AX22,6-'📥 DADOS BRUTOS'!BC22,6-'📥 DADOS BRUTOS'!BH22,6-'📥 DADOS BRUTOS'!BM22,6-'📥 DADOS BRUTOS'!BR22,6-'📥 DADOS BRUTOS'!BX22,6-'📥 DADOS BRUTOS'!CB22))</x:f>
      </x:c>
      <x:c r="H22" s="84" t="str">
        <x:f>IF(COUNT('📥 DADOS BRUTOS'!AQ22:CC22)&lt;39,"",AVERAGE(6-'📥 DADOS BRUTOS'!AS22,6-'📥 DADOS BRUTOS'!AZ22,6-'📥 DADOS BRUTOS'!BD22,6-'📥 DADOS BRUTOS'!BG22,6-'📥 DADOS BRUTOS'!BO22,6-'📥 DADOS BRUTOS'!BT22,6-'📥 DADOS BRUTOS'!BY22,6-'📥 DADOS BRUTOS'!CC22))</x:f>
      </x:c>
      <x:c r="I22" s="84" t="str">
        <x:f>IF(COUNT('📥 DADOS BRUTOS'!AQ22:CC22)&lt;39,"",AVERAGE('📥 DADOS BRUTOS'!AT22,'📥 DADOS BRUTOS'!AY22,'📥 DADOS BRUTOS'!BI22,'📥 DADOS BRUTOS'!BK22,'📥 DADOS BRUTOS'!BN22,'📥 DADOS BRUTOS'!BS22,'📥 DADOS BRUTOS'!BW22))</x:f>
      </x:c>
      <x:c r="J22" s="85" t="str">
        <x:f t="shared" si="0">IF(COUNT(E22:I22)&lt;5,"",AVERAGE(E22:I22))</x:f>
      </x:c>
      <x:c r="K22" s="31" t="str">
        <x:f>IF(COUNT('📥 DADOS BRUTOS'!AQ22:CC22)&lt;39,"",SUM('📥 DADOS BRUTOS'!AQ22,'📥 DADOS BRUTOS'!AR22,6-'📥 DADOS BRUTOS'!AS22,'📥 DADOS BRUTOS'!AT22,6-'📥 DADOS BRUTOS'!AU22,'📥 DADOS BRUTOS'!AV22,'📥 DADOS BRUTOS'!AW22,6-'📥 DADOS BRUTOS'!AX22,'📥 DADOS BRUTOS'!AY22,6-'📥 DADOS BRUTOS'!AZ22,'📥 DADOS BRUTOS'!BA22,6-'📥 DADOS BRUTOS'!BB22,6-'📥 DADOS BRUTOS'!BC22,6-'📥 DADOS BRUTOS'!BD22,'📥 DADOS BRUTOS'!BE22,6-'📥 DADOS BRUTOS'!BF22,6-'📥 DADOS BRUTOS'!BG22,6-'📥 DADOS BRUTOS'!BH22,'📥 DADOS BRUTOS'!BI22,'📥 DADOS BRUTOS'!BJ22,'📥 DADOS BRUTOS'!BK22,'📥 DADOS BRUTOS'!BL22,6-'📥 DADOS BRUTOS'!BM22,'📥 DADOS BRUTOS'!BN22,6-'📥 DADOS BRUTOS'!BO22,'📥 DADOS BRUTOS'!BP22,'📥 DADOS BRUTOS'!BQ22,6-'📥 DADOS BRUTOS'!BR22,'📥 DADOS BRUTOS'!BS22,6-'📥 DADOS BRUTOS'!BT22,'📥 DADOS BRUTOS'!BU22,6-'📥 DADOS BRUTOS'!BV22,'📥 DADOS BRUTOS'!BW22,6-'📥 DADOS BRUTOS'!BX22,6-'📥 DADOS BRUTOS'!BY22,'📥 DADOS BRUTOS'!BZ22,'📥 DADOS BRUTOS'!CA22,6-'📥 DADOS BRUTOS'!CB22,6-'📥 DADOS BRUTOS'!CC22))</x:f>
      </x:c>
    </x:row>
    <x:row r="23" ht="18" customHeight="1">
      <x:c r="B23" s="26" t="str">
        <x:f>IF(COUNTA('📥 DADOS BRUTOS'!B23)=0,"",'📥 DADOS BRUTOS'!B23)</x:f>
      </x:c>
      <x:c r="C23" s="26" t="str">
        <x:f>IF(COUNTA('📥 DADOS BRUTOS'!C23)=0,"",'📥 DADOS BRUTOS'!C23)</x:f>
      </x:c>
      <x:c r="D23" s="26" t="str">
        <x:f>IF(COUNTA('📥 DADOS BRUTOS'!D23)=0,"",'📥 DADOS BRUTOS'!D23)</x:f>
      </x:c>
      <x:c r="E23" s="36" t="str">
        <x:f>IF(COUNT('📥 DADOS BRUTOS'!AQ23:CC23)&lt;39,"",AVERAGE('📥 DADOS BRUTOS'!AQ23,'📥 DADOS BRUTOS'!AV23,'📥 DADOS BRUTOS'!BA23,'📥 DADOS BRUTOS'!BE23,'📥 DADOS BRUTOS'!BJ23,'📥 DADOS BRUTOS'!BP23,'📥 DADOS BRUTOS'!BU23,'📥 DADOS BRUTOS'!BZ23))</x:f>
      </x:c>
      <x:c r="F23" s="36" t="str">
        <x:f>IF(COUNT('📥 DADOS BRUTOS'!AQ23:CC23)&lt;39,"",AVERAGE('📥 DADOS BRUTOS'!AR23,'📥 DADOS BRUTOS'!AW23,6-'📥 DADOS BRUTOS'!BB23,6-'📥 DADOS BRUTOS'!BF23,'📥 DADOS BRUTOS'!BL23,'📥 DADOS BRUTOS'!BQ23,6-'📥 DADOS BRUTOS'!BV23,'📥 DADOS BRUTOS'!CA23))</x:f>
      </x:c>
      <x:c r="G23" s="36" t="str">
        <x:f>IF(COUNT('📥 DADOS BRUTOS'!AQ23:CC23)&lt;39,"",AVERAGE(6-'📥 DADOS BRUTOS'!AU23,6-'📥 DADOS BRUTOS'!AX23,6-'📥 DADOS BRUTOS'!BC23,6-'📥 DADOS BRUTOS'!BH23,6-'📥 DADOS BRUTOS'!BM23,6-'📥 DADOS BRUTOS'!BR23,6-'📥 DADOS BRUTOS'!BX23,6-'📥 DADOS BRUTOS'!CB23))</x:f>
      </x:c>
      <x:c r="H23" s="36" t="str">
        <x:f>IF(COUNT('📥 DADOS BRUTOS'!AQ23:CC23)&lt;39,"",AVERAGE(6-'📥 DADOS BRUTOS'!AS23,6-'📥 DADOS BRUTOS'!AZ23,6-'📥 DADOS BRUTOS'!BD23,6-'📥 DADOS BRUTOS'!BG23,6-'📥 DADOS BRUTOS'!BO23,6-'📥 DADOS BRUTOS'!BT23,6-'📥 DADOS BRUTOS'!BY23,6-'📥 DADOS BRUTOS'!CC23))</x:f>
      </x:c>
      <x:c r="I23" s="36" t="str">
        <x:f>IF(COUNT('📥 DADOS BRUTOS'!AQ23:CC23)&lt;39,"",AVERAGE('📥 DADOS BRUTOS'!AT23,'📥 DADOS BRUTOS'!AY23,'📥 DADOS BRUTOS'!BI23,'📥 DADOS BRUTOS'!BK23,'📥 DADOS BRUTOS'!BN23,'📥 DADOS BRUTOS'!BS23,'📥 DADOS BRUTOS'!BW23))</x:f>
      </x:c>
      <x:c r="J23" s="83" t="str">
        <x:f t="shared" si="0">IF(COUNT(E23:I23)&lt;5,"",AVERAGE(E23:I23))</x:f>
      </x:c>
      <x:c r="K23" s="27" t="str">
        <x:f>IF(COUNT('📥 DADOS BRUTOS'!AQ23:CC23)&lt;39,"",SUM('📥 DADOS BRUTOS'!AQ23,'📥 DADOS BRUTOS'!AR23,6-'📥 DADOS BRUTOS'!AS23,'📥 DADOS BRUTOS'!AT23,6-'📥 DADOS BRUTOS'!AU23,'📥 DADOS BRUTOS'!AV23,'📥 DADOS BRUTOS'!AW23,6-'📥 DADOS BRUTOS'!AX23,'📥 DADOS BRUTOS'!AY23,6-'📥 DADOS BRUTOS'!AZ23,'📥 DADOS BRUTOS'!BA23,6-'📥 DADOS BRUTOS'!BB23,6-'📥 DADOS BRUTOS'!BC23,6-'📥 DADOS BRUTOS'!BD23,'📥 DADOS BRUTOS'!BE23,6-'📥 DADOS BRUTOS'!BF23,6-'📥 DADOS BRUTOS'!BG23,6-'📥 DADOS BRUTOS'!BH23,'📥 DADOS BRUTOS'!BI23,'📥 DADOS BRUTOS'!BJ23,'📥 DADOS BRUTOS'!BK23,'📥 DADOS BRUTOS'!BL23,6-'📥 DADOS BRUTOS'!BM23,'📥 DADOS BRUTOS'!BN23,6-'📥 DADOS BRUTOS'!BO23,'📥 DADOS BRUTOS'!BP23,'📥 DADOS BRUTOS'!BQ23,6-'📥 DADOS BRUTOS'!BR23,'📥 DADOS BRUTOS'!BS23,6-'📥 DADOS BRUTOS'!BT23,'📥 DADOS BRUTOS'!BU23,6-'📥 DADOS BRUTOS'!BV23,'📥 DADOS BRUTOS'!BW23,6-'📥 DADOS BRUTOS'!BX23,6-'📥 DADOS BRUTOS'!BY23,'📥 DADOS BRUTOS'!BZ23,'📥 DADOS BRUTOS'!CA23,6-'📥 DADOS BRUTOS'!CB23,6-'📥 DADOS BRUTOS'!CC23))</x:f>
      </x:c>
    </x:row>
    <x:row r="24" ht="18" customHeight="1">
      <x:c r="B24" s="30" t="str">
        <x:f>IF(COUNTA('📥 DADOS BRUTOS'!B24)=0,"",'📥 DADOS BRUTOS'!B24)</x:f>
      </x:c>
      <x:c r="C24" s="30" t="str">
        <x:f>IF(COUNTA('📥 DADOS BRUTOS'!C24)=0,"",'📥 DADOS BRUTOS'!C24)</x:f>
      </x:c>
      <x:c r="D24" s="30" t="str">
        <x:f>IF(COUNTA('📥 DADOS BRUTOS'!D24)=0,"",'📥 DADOS BRUTOS'!D24)</x:f>
      </x:c>
      <x:c r="E24" s="84" t="str">
        <x:f>IF(COUNT('📥 DADOS BRUTOS'!AQ24:CC24)&lt;39,"",AVERAGE('📥 DADOS BRUTOS'!AQ24,'📥 DADOS BRUTOS'!AV24,'📥 DADOS BRUTOS'!BA24,'📥 DADOS BRUTOS'!BE24,'📥 DADOS BRUTOS'!BJ24,'📥 DADOS BRUTOS'!BP24,'📥 DADOS BRUTOS'!BU24,'📥 DADOS BRUTOS'!BZ24))</x:f>
      </x:c>
      <x:c r="F24" s="84" t="str">
        <x:f>IF(COUNT('📥 DADOS BRUTOS'!AQ24:CC24)&lt;39,"",AVERAGE('📥 DADOS BRUTOS'!AR24,'📥 DADOS BRUTOS'!AW24,6-'📥 DADOS BRUTOS'!BB24,6-'📥 DADOS BRUTOS'!BF24,'📥 DADOS BRUTOS'!BL24,'📥 DADOS BRUTOS'!BQ24,6-'📥 DADOS BRUTOS'!BV24,'📥 DADOS BRUTOS'!CA24))</x:f>
      </x:c>
      <x:c r="G24" s="84" t="str">
        <x:f>IF(COUNT('📥 DADOS BRUTOS'!AQ24:CC24)&lt;39,"",AVERAGE(6-'📥 DADOS BRUTOS'!AU24,6-'📥 DADOS BRUTOS'!AX24,6-'📥 DADOS BRUTOS'!BC24,6-'📥 DADOS BRUTOS'!BH24,6-'📥 DADOS BRUTOS'!BM24,6-'📥 DADOS BRUTOS'!BR24,6-'📥 DADOS BRUTOS'!BX24,6-'📥 DADOS BRUTOS'!CB24))</x:f>
      </x:c>
      <x:c r="H24" s="84" t="str">
        <x:f>IF(COUNT('📥 DADOS BRUTOS'!AQ24:CC24)&lt;39,"",AVERAGE(6-'📥 DADOS BRUTOS'!AS24,6-'📥 DADOS BRUTOS'!AZ24,6-'📥 DADOS BRUTOS'!BD24,6-'📥 DADOS BRUTOS'!BG24,6-'📥 DADOS BRUTOS'!BO24,6-'📥 DADOS BRUTOS'!BT24,6-'📥 DADOS BRUTOS'!BY24,6-'📥 DADOS BRUTOS'!CC24))</x:f>
      </x:c>
      <x:c r="I24" s="84" t="str">
        <x:f>IF(COUNT('📥 DADOS BRUTOS'!AQ24:CC24)&lt;39,"",AVERAGE('📥 DADOS BRUTOS'!AT24,'📥 DADOS BRUTOS'!AY24,'📥 DADOS BRUTOS'!BI24,'📥 DADOS BRUTOS'!BK24,'📥 DADOS BRUTOS'!BN24,'📥 DADOS BRUTOS'!BS24,'📥 DADOS BRUTOS'!BW24))</x:f>
      </x:c>
      <x:c r="J24" s="85" t="str">
        <x:f t="shared" si="0">IF(COUNT(E24:I24)&lt;5,"",AVERAGE(E24:I24))</x:f>
      </x:c>
      <x:c r="K24" s="31" t="str">
        <x:f>IF(COUNT('📥 DADOS BRUTOS'!AQ24:CC24)&lt;39,"",SUM('📥 DADOS BRUTOS'!AQ24,'📥 DADOS BRUTOS'!AR24,6-'📥 DADOS BRUTOS'!AS24,'📥 DADOS BRUTOS'!AT24,6-'📥 DADOS BRUTOS'!AU24,'📥 DADOS BRUTOS'!AV24,'📥 DADOS BRUTOS'!AW24,6-'📥 DADOS BRUTOS'!AX24,'📥 DADOS BRUTOS'!AY24,6-'📥 DADOS BRUTOS'!AZ24,'📥 DADOS BRUTOS'!BA24,6-'📥 DADOS BRUTOS'!BB24,6-'📥 DADOS BRUTOS'!BC24,6-'📥 DADOS BRUTOS'!BD24,'📥 DADOS BRUTOS'!BE24,6-'📥 DADOS BRUTOS'!BF24,6-'📥 DADOS BRUTOS'!BG24,6-'📥 DADOS BRUTOS'!BH24,'📥 DADOS BRUTOS'!BI24,'📥 DADOS BRUTOS'!BJ24,'📥 DADOS BRUTOS'!BK24,'📥 DADOS BRUTOS'!BL24,6-'📥 DADOS BRUTOS'!BM24,'📥 DADOS BRUTOS'!BN24,6-'📥 DADOS BRUTOS'!BO24,'📥 DADOS BRUTOS'!BP24,'📥 DADOS BRUTOS'!BQ24,6-'📥 DADOS BRUTOS'!BR24,'📥 DADOS BRUTOS'!BS24,6-'📥 DADOS BRUTOS'!BT24,'📥 DADOS BRUTOS'!BU24,6-'📥 DADOS BRUTOS'!BV24,'📥 DADOS BRUTOS'!BW24,6-'📥 DADOS BRUTOS'!BX24,6-'📥 DADOS BRUTOS'!BY24,'📥 DADOS BRUTOS'!BZ24,'📥 DADOS BRUTOS'!CA24,6-'📥 DADOS BRUTOS'!CB24,6-'📥 DADOS BRUTOS'!CC24))</x:f>
      </x:c>
    </x:row>
    <x:row r="25" ht="18" customHeight="1">
      <x:c r="B25" s="26" t="str">
        <x:f>IF(COUNTA('📥 DADOS BRUTOS'!B25)=0,"",'📥 DADOS BRUTOS'!B25)</x:f>
      </x:c>
      <x:c r="C25" s="26" t="str">
        <x:f>IF(COUNTA('📥 DADOS BRUTOS'!C25)=0,"",'📥 DADOS BRUTOS'!C25)</x:f>
      </x:c>
      <x:c r="D25" s="26" t="str">
        <x:f>IF(COUNTA('📥 DADOS BRUTOS'!D25)=0,"",'📥 DADOS BRUTOS'!D25)</x:f>
      </x:c>
      <x:c r="E25" s="36" t="str">
        <x:f>IF(COUNT('📥 DADOS BRUTOS'!AQ25:CC25)&lt;39,"",AVERAGE('📥 DADOS BRUTOS'!AQ25,'📥 DADOS BRUTOS'!AV25,'📥 DADOS BRUTOS'!BA25,'📥 DADOS BRUTOS'!BE25,'📥 DADOS BRUTOS'!BJ25,'📥 DADOS BRUTOS'!BP25,'📥 DADOS BRUTOS'!BU25,'📥 DADOS BRUTOS'!BZ25))</x:f>
      </x:c>
      <x:c r="F25" s="36" t="str">
        <x:f>IF(COUNT('📥 DADOS BRUTOS'!AQ25:CC25)&lt;39,"",AVERAGE('📥 DADOS BRUTOS'!AR25,'📥 DADOS BRUTOS'!AW25,6-'📥 DADOS BRUTOS'!BB25,6-'📥 DADOS BRUTOS'!BF25,'📥 DADOS BRUTOS'!BL25,'📥 DADOS BRUTOS'!BQ25,6-'📥 DADOS BRUTOS'!BV25,'📥 DADOS BRUTOS'!CA25))</x:f>
      </x:c>
      <x:c r="G25" s="36" t="str">
        <x:f>IF(COUNT('📥 DADOS BRUTOS'!AQ25:CC25)&lt;39,"",AVERAGE(6-'📥 DADOS BRUTOS'!AU25,6-'📥 DADOS BRUTOS'!AX25,6-'📥 DADOS BRUTOS'!BC25,6-'📥 DADOS BRUTOS'!BH25,6-'📥 DADOS BRUTOS'!BM25,6-'📥 DADOS BRUTOS'!BR25,6-'📥 DADOS BRUTOS'!BX25,6-'📥 DADOS BRUTOS'!CB25))</x:f>
      </x:c>
      <x:c r="H25" s="36" t="str">
        <x:f>IF(COUNT('📥 DADOS BRUTOS'!AQ25:CC25)&lt;39,"",AVERAGE(6-'📥 DADOS BRUTOS'!AS25,6-'📥 DADOS BRUTOS'!AZ25,6-'📥 DADOS BRUTOS'!BD25,6-'📥 DADOS BRUTOS'!BG25,6-'📥 DADOS BRUTOS'!BO25,6-'📥 DADOS BRUTOS'!BT25,6-'📥 DADOS BRUTOS'!BY25,6-'📥 DADOS BRUTOS'!CC25))</x:f>
      </x:c>
      <x:c r="I25" s="36" t="str">
        <x:f>IF(COUNT('📥 DADOS BRUTOS'!AQ25:CC25)&lt;39,"",AVERAGE('📥 DADOS BRUTOS'!AT25,'📥 DADOS BRUTOS'!AY25,'📥 DADOS BRUTOS'!BI25,'📥 DADOS BRUTOS'!BK25,'📥 DADOS BRUTOS'!BN25,'📥 DADOS BRUTOS'!BS25,'📥 DADOS BRUTOS'!BW25))</x:f>
      </x:c>
      <x:c r="J25" s="83" t="str">
        <x:f t="shared" si="0">IF(COUNT(E25:I25)&lt;5,"",AVERAGE(E25:I25))</x:f>
      </x:c>
      <x:c r="K25" s="27" t="str">
        <x:f>IF(COUNT('📥 DADOS BRUTOS'!AQ25:CC25)&lt;39,"",SUM('📥 DADOS BRUTOS'!AQ25,'📥 DADOS BRUTOS'!AR25,6-'📥 DADOS BRUTOS'!AS25,'📥 DADOS BRUTOS'!AT25,6-'📥 DADOS BRUTOS'!AU25,'📥 DADOS BRUTOS'!AV25,'📥 DADOS BRUTOS'!AW25,6-'📥 DADOS BRUTOS'!AX25,'📥 DADOS BRUTOS'!AY25,6-'📥 DADOS BRUTOS'!AZ25,'📥 DADOS BRUTOS'!BA25,6-'📥 DADOS BRUTOS'!BB25,6-'📥 DADOS BRUTOS'!BC25,6-'📥 DADOS BRUTOS'!BD25,'📥 DADOS BRUTOS'!BE25,6-'📥 DADOS BRUTOS'!BF25,6-'📥 DADOS BRUTOS'!BG25,6-'📥 DADOS BRUTOS'!BH25,'📥 DADOS BRUTOS'!BI25,'📥 DADOS BRUTOS'!BJ25,'📥 DADOS BRUTOS'!BK25,'📥 DADOS BRUTOS'!BL25,6-'📥 DADOS BRUTOS'!BM25,'📥 DADOS BRUTOS'!BN25,6-'📥 DADOS BRUTOS'!BO25,'📥 DADOS BRUTOS'!BP25,'📥 DADOS BRUTOS'!BQ25,6-'📥 DADOS BRUTOS'!BR25,'📥 DADOS BRUTOS'!BS25,6-'📥 DADOS BRUTOS'!BT25,'📥 DADOS BRUTOS'!BU25,6-'📥 DADOS BRUTOS'!BV25,'📥 DADOS BRUTOS'!BW25,6-'📥 DADOS BRUTOS'!BX25,6-'📥 DADOS BRUTOS'!BY25,'📥 DADOS BRUTOS'!BZ25,'📥 DADOS BRUTOS'!CA25,6-'📥 DADOS BRUTOS'!CB25,6-'📥 DADOS BRUTOS'!CC25))</x:f>
      </x:c>
    </x:row>
    <x:row r="26" ht="18" customHeight="1">
      <x:c r="B26" s="30" t="str">
        <x:f>IF(COUNTA('📥 DADOS BRUTOS'!B26)=0,"",'📥 DADOS BRUTOS'!B26)</x:f>
      </x:c>
      <x:c r="C26" s="30" t="str">
        <x:f>IF(COUNTA('📥 DADOS BRUTOS'!C26)=0,"",'📥 DADOS BRUTOS'!C26)</x:f>
      </x:c>
      <x:c r="D26" s="30" t="str">
        <x:f>IF(COUNTA('📥 DADOS BRUTOS'!D26)=0,"",'📥 DADOS BRUTOS'!D26)</x:f>
      </x:c>
      <x:c r="E26" s="84" t="str">
        <x:f>IF(COUNT('📥 DADOS BRUTOS'!AQ26:CC26)&lt;39,"",AVERAGE('📥 DADOS BRUTOS'!AQ26,'📥 DADOS BRUTOS'!AV26,'📥 DADOS BRUTOS'!BA26,'📥 DADOS BRUTOS'!BE26,'📥 DADOS BRUTOS'!BJ26,'📥 DADOS BRUTOS'!BP26,'📥 DADOS BRUTOS'!BU26,'📥 DADOS BRUTOS'!BZ26))</x:f>
      </x:c>
      <x:c r="F26" s="84" t="str">
        <x:f>IF(COUNT('📥 DADOS BRUTOS'!AQ26:CC26)&lt;39,"",AVERAGE('📥 DADOS BRUTOS'!AR26,'📥 DADOS BRUTOS'!AW26,6-'📥 DADOS BRUTOS'!BB26,6-'📥 DADOS BRUTOS'!BF26,'📥 DADOS BRUTOS'!BL26,'📥 DADOS BRUTOS'!BQ26,6-'📥 DADOS BRUTOS'!BV26,'📥 DADOS BRUTOS'!CA26))</x:f>
      </x:c>
      <x:c r="G26" s="84" t="str">
        <x:f>IF(COUNT('📥 DADOS BRUTOS'!AQ26:CC26)&lt;39,"",AVERAGE(6-'📥 DADOS BRUTOS'!AU26,6-'📥 DADOS BRUTOS'!AX26,6-'📥 DADOS BRUTOS'!BC26,6-'📥 DADOS BRUTOS'!BH26,6-'📥 DADOS BRUTOS'!BM26,6-'📥 DADOS BRUTOS'!BR26,6-'📥 DADOS BRUTOS'!BX26,6-'📥 DADOS BRUTOS'!CB26))</x:f>
      </x:c>
      <x:c r="H26" s="84" t="str">
        <x:f>IF(COUNT('📥 DADOS BRUTOS'!AQ26:CC26)&lt;39,"",AVERAGE(6-'📥 DADOS BRUTOS'!AS26,6-'📥 DADOS BRUTOS'!AZ26,6-'📥 DADOS BRUTOS'!BD26,6-'📥 DADOS BRUTOS'!BG26,6-'📥 DADOS BRUTOS'!BO26,6-'📥 DADOS BRUTOS'!BT26,6-'📥 DADOS BRUTOS'!BY26,6-'📥 DADOS BRUTOS'!CC26))</x:f>
      </x:c>
      <x:c r="I26" s="84" t="str">
        <x:f>IF(COUNT('📥 DADOS BRUTOS'!AQ26:CC26)&lt;39,"",AVERAGE('📥 DADOS BRUTOS'!AT26,'📥 DADOS BRUTOS'!AY26,'📥 DADOS BRUTOS'!BI26,'📥 DADOS BRUTOS'!BK26,'📥 DADOS BRUTOS'!BN26,'📥 DADOS BRUTOS'!BS26,'📥 DADOS BRUTOS'!BW26))</x:f>
      </x:c>
      <x:c r="J26" s="85" t="str">
        <x:f t="shared" si="0">IF(COUNT(E26:I26)&lt;5,"",AVERAGE(E26:I26))</x:f>
      </x:c>
      <x:c r="K26" s="31" t="str">
        <x:f>IF(COUNT('📥 DADOS BRUTOS'!AQ26:CC26)&lt;39,"",SUM('📥 DADOS BRUTOS'!AQ26,'📥 DADOS BRUTOS'!AR26,6-'📥 DADOS BRUTOS'!AS26,'📥 DADOS BRUTOS'!AT26,6-'📥 DADOS BRUTOS'!AU26,'📥 DADOS BRUTOS'!AV26,'📥 DADOS BRUTOS'!AW26,6-'📥 DADOS BRUTOS'!AX26,'📥 DADOS BRUTOS'!AY26,6-'📥 DADOS BRUTOS'!AZ26,'📥 DADOS BRUTOS'!BA26,6-'📥 DADOS BRUTOS'!BB26,6-'📥 DADOS BRUTOS'!BC26,6-'📥 DADOS BRUTOS'!BD26,'📥 DADOS BRUTOS'!BE26,6-'📥 DADOS BRUTOS'!BF26,6-'📥 DADOS BRUTOS'!BG26,6-'📥 DADOS BRUTOS'!BH26,'📥 DADOS BRUTOS'!BI26,'📥 DADOS BRUTOS'!BJ26,'📥 DADOS BRUTOS'!BK26,'📥 DADOS BRUTOS'!BL26,6-'📥 DADOS BRUTOS'!BM26,'📥 DADOS BRUTOS'!BN26,6-'📥 DADOS BRUTOS'!BO26,'📥 DADOS BRUTOS'!BP26,'📥 DADOS BRUTOS'!BQ26,6-'📥 DADOS BRUTOS'!BR26,'📥 DADOS BRUTOS'!BS26,6-'📥 DADOS BRUTOS'!BT26,'📥 DADOS BRUTOS'!BU26,6-'📥 DADOS BRUTOS'!BV26,'📥 DADOS BRUTOS'!BW26,6-'📥 DADOS BRUTOS'!BX26,6-'📥 DADOS BRUTOS'!BY26,'📥 DADOS BRUTOS'!BZ26,'📥 DADOS BRUTOS'!CA26,6-'📥 DADOS BRUTOS'!CB26,6-'📥 DADOS BRUTOS'!CC26))</x:f>
      </x:c>
    </x:row>
    <x:row r="27" ht="18" customHeight="1">
      <x:c r="B27" s="26" t="str">
        <x:f>IF(COUNTA('📥 DADOS BRUTOS'!B27)=0,"",'📥 DADOS BRUTOS'!B27)</x:f>
      </x:c>
      <x:c r="C27" s="26" t="str">
        <x:f>IF(COUNTA('📥 DADOS BRUTOS'!C27)=0,"",'📥 DADOS BRUTOS'!C27)</x:f>
      </x:c>
      <x:c r="D27" s="26" t="str">
        <x:f>IF(COUNTA('📥 DADOS BRUTOS'!D27)=0,"",'📥 DADOS BRUTOS'!D27)</x:f>
      </x:c>
      <x:c r="E27" s="36" t="str">
        <x:f>IF(COUNT('📥 DADOS BRUTOS'!AQ27:CC27)&lt;39,"",AVERAGE('📥 DADOS BRUTOS'!AQ27,'📥 DADOS BRUTOS'!AV27,'📥 DADOS BRUTOS'!BA27,'📥 DADOS BRUTOS'!BE27,'📥 DADOS BRUTOS'!BJ27,'📥 DADOS BRUTOS'!BP27,'📥 DADOS BRUTOS'!BU27,'📥 DADOS BRUTOS'!BZ27))</x:f>
      </x:c>
      <x:c r="F27" s="36" t="str">
        <x:f>IF(COUNT('📥 DADOS BRUTOS'!AQ27:CC27)&lt;39,"",AVERAGE('📥 DADOS BRUTOS'!AR27,'📥 DADOS BRUTOS'!AW27,6-'📥 DADOS BRUTOS'!BB27,6-'📥 DADOS BRUTOS'!BF27,'📥 DADOS BRUTOS'!BL27,'📥 DADOS BRUTOS'!BQ27,6-'📥 DADOS BRUTOS'!BV27,'📥 DADOS BRUTOS'!CA27))</x:f>
      </x:c>
      <x:c r="G27" s="36" t="str">
        <x:f>IF(COUNT('📥 DADOS BRUTOS'!AQ27:CC27)&lt;39,"",AVERAGE(6-'📥 DADOS BRUTOS'!AU27,6-'📥 DADOS BRUTOS'!AX27,6-'📥 DADOS BRUTOS'!BC27,6-'📥 DADOS BRUTOS'!BH27,6-'📥 DADOS BRUTOS'!BM27,6-'📥 DADOS BRUTOS'!BR27,6-'📥 DADOS BRUTOS'!BX27,6-'📥 DADOS BRUTOS'!CB27))</x:f>
      </x:c>
      <x:c r="H27" s="36" t="str">
        <x:f>IF(COUNT('📥 DADOS BRUTOS'!AQ27:CC27)&lt;39,"",AVERAGE(6-'📥 DADOS BRUTOS'!AS27,6-'📥 DADOS BRUTOS'!AZ27,6-'📥 DADOS BRUTOS'!BD27,6-'📥 DADOS BRUTOS'!BG27,6-'📥 DADOS BRUTOS'!BO27,6-'📥 DADOS BRUTOS'!BT27,6-'📥 DADOS BRUTOS'!BY27,6-'📥 DADOS BRUTOS'!CC27))</x:f>
      </x:c>
      <x:c r="I27" s="36" t="str">
        <x:f>IF(COUNT('📥 DADOS BRUTOS'!AQ27:CC27)&lt;39,"",AVERAGE('📥 DADOS BRUTOS'!AT27,'📥 DADOS BRUTOS'!AY27,'📥 DADOS BRUTOS'!BI27,'📥 DADOS BRUTOS'!BK27,'📥 DADOS BRUTOS'!BN27,'📥 DADOS BRUTOS'!BS27,'📥 DADOS BRUTOS'!BW27))</x:f>
      </x:c>
      <x:c r="J27" s="83" t="str">
        <x:f t="shared" si="0">IF(COUNT(E27:I27)&lt;5,"",AVERAGE(E27:I27))</x:f>
      </x:c>
      <x:c r="K27" s="27" t="str">
        <x:f>IF(COUNT('📥 DADOS BRUTOS'!AQ27:CC27)&lt;39,"",SUM('📥 DADOS BRUTOS'!AQ27,'📥 DADOS BRUTOS'!AR27,6-'📥 DADOS BRUTOS'!AS27,'📥 DADOS BRUTOS'!AT27,6-'📥 DADOS BRUTOS'!AU27,'📥 DADOS BRUTOS'!AV27,'📥 DADOS BRUTOS'!AW27,6-'📥 DADOS BRUTOS'!AX27,'📥 DADOS BRUTOS'!AY27,6-'📥 DADOS BRUTOS'!AZ27,'📥 DADOS BRUTOS'!BA27,6-'📥 DADOS BRUTOS'!BB27,6-'📥 DADOS BRUTOS'!BC27,6-'📥 DADOS BRUTOS'!BD27,'📥 DADOS BRUTOS'!BE27,6-'📥 DADOS BRUTOS'!BF27,6-'📥 DADOS BRUTOS'!BG27,6-'📥 DADOS BRUTOS'!BH27,'📥 DADOS BRUTOS'!BI27,'📥 DADOS BRUTOS'!BJ27,'📥 DADOS BRUTOS'!BK27,'📥 DADOS BRUTOS'!BL27,6-'📥 DADOS BRUTOS'!BM27,'📥 DADOS BRUTOS'!BN27,6-'📥 DADOS BRUTOS'!BO27,'📥 DADOS BRUTOS'!BP27,'📥 DADOS BRUTOS'!BQ27,6-'📥 DADOS BRUTOS'!BR27,'📥 DADOS BRUTOS'!BS27,6-'📥 DADOS BRUTOS'!BT27,'📥 DADOS BRUTOS'!BU27,6-'📥 DADOS BRUTOS'!BV27,'📥 DADOS BRUTOS'!BW27,6-'📥 DADOS BRUTOS'!BX27,6-'📥 DADOS BRUTOS'!BY27,'📥 DADOS BRUTOS'!BZ27,'📥 DADOS BRUTOS'!CA27,6-'📥 DADOS BRUTOS'!CB27,6-'📥 DADOS BRUTOS'!CC27))</x:f>
      </x:c>
    </x:row>
    <x:row r="28" ht="18" customHeight="1">
      <x:c r="B28" s="30" t="str">
        <x:f>IF(COUNTA('📥 DADOS BRUTOS'!B28)=0,"",'📥 DADOS BRUTOS'!B28)</x:f>
      </x:c>
      <x:c r="C28" s="30" t="str">
        <x:f>IF(COUNTA('📥 DADOS BRUTOS'!C28)=0,"",'📥 DADOS BRUTOS'!C28)</x:f>
      </x:c>
      <x:c r="D28" s="30" t="str">
        <x:f>IF(COUNTA('📥 DADOS BRUTOS'!D28)=0,"",'📥 DADOS BRUTOS'!D28)</x:f>
      </x:c>
      <x:c r="E28" s="84" t="str">
        <x:f>IF(COUNT('📥 DADOS BRUTOS'!AQ28:CC28)&lt;39,"",AVERAGE('📥 DADOS BRUTOS'!AQ28,'📥 DADOS BRUTOS'!AV28,'📥 DADOS BRUTOS'!BA28,'📥 DADOS BRUTOS'!BE28,'📥 DADOS BRUTOS'!BJ28,'📥 DADOS BRUTOS'!BP28,'📥 DADOS BRUTOS'!BU28,'📥 DADOS BRUTOS'!BZ28))</x:f>
      </x:c>
      <x:c r="F28" s="84" t="str">
        <x:f>IF(COUNT('📥 DADOS BRUTOS'!AQ28:CC28)&lt;39,"",AVERAGE('📥 DADOS BRUTOS'!AR28,'📥 DADOS BRUTOS'!AW28,6-'📥 DADOS BRUTOS'!BB28,6-'📥 DADOS BRUTOS'!BF28,'📥 DADOS BRUTOS'!BL28,'📥 DADOS BRUTOS'!BQ28,6-'📥 DADOS BRUTOS'!BV28,'📥 DADOS BRUTOS'!CA28))</x:f>
      </x:c>
      <x:c r="G28" s="84" t="str">
        <x:f>IF(COUNT('📥 DADOS BRUTOS'!AQ28:CC28)&lt;39,"",AVERAGE(6-'📥 DADOS BRUTOS'!AU28,6-'📥 DADOS BRUTOS'!AX28,6-'📥 DADOS BRUTOS'!BC28,6-'📥 DADOS BRUTOS'!BH28,6-'📥 DADOS BRUTOS'!BM28,6-'📥 DADOS BRUTOS'!BR28,6-'📥 DADOS BRUTOS'!BX28,6-'📥 DADOS BRUTOS'!CB28))</x:f>
      </x:c>
      <x:c r="H28" s="84" t="str">
        <x:f>IF(COUNT('📥 DADOS BRUTOS'!AQ28:CC28)&lt;39,"",AVERAGE(6-'📥 DADOS BRUTOS'!AS28,6-'📥 DADOS BRUTOS'!AZ28,6-'📥 DADOS BRUTOS'!BD28,6-'📥 DADOS BRUTOS'!BG28,6-'📥 DADOS BRUTOS'!BO28,6-'📥 DADOS BRUTOS'!BT28,6-'📥 DADOS BRUTOS'!BY28,6-'📥 DADOS BRUTOS'!CC28))</x:f>
      </x:c>
      <x:c r="I28" s="84" t="str">
        <x:f>IF(COUNT('📥 DADOS BRUTOS'!AQ28:CC28)&lt;39,"",AVERAGE('📥 DADOS BRUTOS'!AT28,'📥 DADOS BRUTOS'!AY28,'📥 DADOS BRUTOS'!BI28,'📥 DADOS BRUTOS'!BK28,'📥 DADOS BRUTOS'!BN28,'📥 DADOS BRUTOS'!BS28,'📥 DADOS BRUTOS'!BW28))</x:f>
      </x:c>
      <x:c r="J28" s="85" t="str">
        <x:f t="shared" si="0">IF(COUNT(E28:I28)&lt;5,"",AVERAGE(E28:I28))</x:f>
      </x:c>
      <x:c r="K28" s="31" t="str">
        <x:f>IF(COUNT('📥 DADOS BRUTOS'!AQ28:CC28)&lt;39,"",SUM('📥 DADOS BRUTOS'!AQ28,'📥 DADOS BRUTOS'!AR28,6-'📥 DADOS BRUTOS'!AS28,'📥 DADOS BRUTOS'!AT28,6-'📥 DADOS BRUTOS'!AU28,'📥 DADOS BRUTOS'!AV28,'📥 DADOS BRUTOS'!AW28,6-'📥 DADOS BRUTOS'!AX28,'📥 DADOS BRUTOS'!AY28,6-'📥 DADOS BRUTOS'!AZ28,'📥 DADOS BRUTOS'!BA28,6-'📥 DADOS BRUTOS'!BB28,6-'📥 DADOS BRUTOS'!BC28,6-'📥 DADOS BRUTOS'!BD28,'📥 DADOS BRUTOS'!BE28,6-'📥 DADOS BRUTOS'!BF28,6-'📥 DADOS BRUTOS'!BG28,6-'📥 DADOS BRUTOS'!BH28,'📥 DADOS BRUTOS'!BI28,'📥 DADOS BRUTOS'!BJ28,'📥 DADOS BRUTOS'!BK28,'📥 DADOS BRUTOS'!BL28,6-'📥 DADOS BRUTOS'!BM28,'📥 DADOS BRUTOS'!BN28,6-'📥 DADOS BRUTOS'!BO28,'📥 DADOS BRUTOS'!BP28,'📥 DADOS BRUTOS'!BQ28,6-'📥 DADOS BRUTOS'!BR28,'📥 DADOS BRUTOS'!BS28,6-'📥 DADOS BRUTOS'!BT28,'📥 DADOS BRUTOS'!BU28,6-'📥 DADOS BRUTOS'!BV28,'📥 DADOS BRUTOS'!BW28,6-'📥 DADOS BRUTOS'!BX28,6-'📥 DADOS BRUTOS'!BY28,'📥 DADOS BRUTOS'!BZ28,'📥 DADOS BRUTOS'!CA28,6-'📥 DADOS BRUTOS'!CB28,6-'📥 DADOS BRUTOS'!CC28))</x:f>
      </x:c>
    </x:row>
    <x:row r="29" ht="18" customHeight="1">
      <x:c r="B29" s="26" t="str">
        <x:f>IF(COUNTA('📥 DADOS BRUTOS'!B29)=0,"",'📥 DADOS BRUTOS'!B29)</x:f>
      </x:c>
      <x:c r="C29" s="26" t="str">
        <x:f>IF(COUNTA('📥 DADOS BRUTOS'!C29)=0,"",'📥 DADOS BRUTOS'!C29)</x:f>
      </x:c>
      <x:c r="D29" s="26" t="str">
        <x:f>IF(COUNTA('📥 DADOS BRUTOS'!D29)=0,"",'📥 DADOS BRUTOS'!D29)</x:f>
      </x:c>
      <x:c r="E29" s="36" t="str">
        <x:f>IF(COUNT('📥 DADOS BRUTOS'!AQ29:CC29)&lt;39,"",AVERAGE('📥 DADOS BRUTOS'!AQ29,'📥 DADOS BRUTOS'!AV29,'📥 DADOS BRUTOS'!BA29,'📥 DADOS BRUTOS'!BE29,'📥 DADOS BRUTOS'!BJ29,'📥 DADOS BRUTOS'!BP29,'📥 DADOS BRUTOS'!BU29,'📥 DADOS BRUTOS'!BZ29))</x:f>
      </x:c>
      <x:c r="F29" s="36" t="str">
        <x:f>IF(COUNT('📥 DADOS BRUTOS'!AQ29:CC29)&lt;39,"",AVERAGE('📥 DADOS BRUTOS'!AR29,'📥 DADOS BRUTOS'!AW29,6-'📥 DADOS BRUTOS'!BB29,6-'📥 DADOS BRUTOS'!BF29,'📥 DADOS BRUTOS'!BL29,'📥 DADOS BRUTOS'!BQ29,6-'📥 DADOS BRUTOS'!BV29,'📥 DADOS BRUTOS'!CA29))</x:f>
      </x:c>
      <x:c r="G29" s="36" t="str">
        <x:f>IF(COUNT('📥 DADOS BRUTOS'!AQ29:CC29)&lt;39,"",AVERAGE(6-'📥 DADOS BRUTOS'!AU29,6-'📥 DADOS BRUTOS'!AX29,6-'📥 DADOS BRUTOS'!BC29,6-'📥 DADOS BRUTOS'!BH29,6-'📥 DADOS BRUTOS'!BM29,6-'📥 DADOS BRUTOS'!BR29,6-'📥 DADOS BRUTOS'!BX29,6-'📥 DADOS BRUTOS'!CB29))</x:f>
      </x:c>
      <x:c r="H29" s="36" t="str">
        <x:f>IF(COUNT('📥 DADOS BRUTOS'!AQ29:CC29)&lt;39,"",AVERAGE(6-'📥 DADOS BRUTOS'!AS29,6-'📥 DADOS BRUTOS'!AZ29,6-'📥 DADOS BRUTOS'!BD29,6-'📥 DADOS BRUTOS'!BG29,6-'📥 DADOS BRUTOS'!BO29,6-'📥 DADOS BRUTOS'!BT29,6-'📥 DADOS BRUTOS'!BY29,6-'📥 DADOS BRUTOS'!CC29))</x:f>
      </x:c>
      <x:c r="I29" s="36" t="str">
        <x:f>IF(COUNT('📥 DADOS BRUTOS'!AQ29:CC29)&lt;39,"",AVERAGE('📥 DADOS BRUTOS'!AT29,'📥 DADOS BRUTOS'!AY29,'📥 DADOS BRUTOS'!BI29,'📥 DADOS BRUTOS'!BK29,'📥 DADOS BRUTOS'!BN29,'📥 DADOS BRUTOS'!BS29,'📥 DADOS BRUTOS'!BW29))</x:f>
      </x:c>
      <x:c r="J29" s="83" t="str">
        <x:f t="shared" si="0">IF(COUNT(E29:I29)&lt;5,"",AVERAGE(E29:I29))</x:f>
      </x:c>
      <x:c r="K29" s="27" t="str">
        <x:f>IF(COUNT('📥 DADOS BRUTOS'!AQ29:CC29)&lt;39,"",SUM('📥 DADOS BRUTOS'!AQ29,'📥 DADOS BRUTOS'!AR29,6-'📥 DADOS BRUTOS'!AS29,'📥 DADOS BRUTOS'!AT29,6-'📥 DADOS BRUTOS'!AU29,'📥 DADOS BRUTOS'!AV29,'📥 DADOS BRUTOS'!AW29,6-'📥 DADOS BRUTOS'!AX29,'📥 DADOS BRUTOS'!AY29,6-'📥 DADOS BRUTOS'!AZ29,'📥 DADOS BRUTOS'!BA29,6-'📥 DADOS BRUTOS'!BB29,6-'📥 DADOS BRUTOS'!BC29,6-'📥 DADOS BRUTOS'!BD29,'📥 DADOS BRUTOS'!BE29,6-'📥 DADOS BRUTOS'!BF29,6-'📥 DADOS BRUTOS'!BG29,6-'📥 DADOS BRUTOS'!BH29,'📥 DADOS BRUTOS'!BI29,'📥 DADOS BRUTOS'!BJ29,'📥 DADOS BRUTOS'!BK29,'📥 DADOS BRUTOS'!BL29,6-'📥 DADOS BRUTOS'!BM29,'📥 DADOS BRUTOS'!BN29,6-'📥 DADOS BRUTOS'!BO29,'📥 DADOS BRUTOS'!BP29,'📥 DADOS BRUTOS'!BQ29,6-'📥 DADOS BRUTOS'!BR29,'📥 DADOS BRUTOS'!BS29,6-'📥 DADOS BRUTOS'!BT29,'📥 DADOS BRUTOS'!BU29,6-'📥 DADOS BRUTOS'!BV29,'📥 DADOS BRUTOS'!BW29,6-'📥 DADOS BRUTOS'!BX29,6-'📥 DADOS BRUTOS'!BY29,'📥 DADOS BRUTOS'!BZ29,'📥 DADOS BRUTOS'!CA29,6-'📥 DADOS BRUTOS'!CB29,6-'📥 DADOS BRUTOS'!CC29))</x:f>
      </x:c>
    </x:row>
    <x:row r="30" ht="18" customHeight="1">
      <x:c r="B30" s="30" t="str">
        <x:f>IF(COUNTA('📥 DADOS BRUTOS'!B30)=0,"",'📥 DADOS BRUTOS'!B30)</x:f>
      </x:c>
      <x:c r="C30" s="30" t="str">
        <x:f>IF(COUNTA('📥 DADOS BRUTOS'!C30)=0,"",'📥 DADOS BRUTOS'!C30)</x:f>
      </x:c>
      <x:c r="D30" s="30" t="str">
        <x:f>IF(COUNTA('📥 DADOS BRUTOS'!D30)=0,"",'📥 DADOS BRUTOS'!D30)</x:f>
      </x:c>
      <x:c r="E30" s="84" t="str">
        <x:f>IF(COUNT('📥 DADOS BRUTOS'!AQ30:CC30)&lt;39,"",AVERAGE('📥 DADOS BRUTOS'!AQ30,'📥 DADOS BRUTOS'!AV30,'📥 DADOS BRUTOS'!BA30,'📥 DADOS BRUTOS'!BE30,'📥 DADOS BRUTOS'!BJ30,'📥 DADOS BRUTOS'!BP30,'📥 DADOS BRUTOS'!BU30,'📥 DADOS BRUTOS'!BZ30))</x:f>
      </x:c>
      <x:c r="F30" s="84" t="str">
        <x:f>IF(COUNT('📥 DADOS BRUTOS'!AQ30:CC30)&lt;39,"",AVERAGE('📥 DADOS BRUTOS'!AR30,'📥 DADOS BRUTOS'!AW30,6-'📥 DADOS BRUTOS'!BB30,6-'📥 DADOS BRUTOS'!BF30,'📥 DADOS BRUTOS'!BL30,'📥 DADOS BRUTOS'!BQ30,6-'📥 DADOS BRUTOS'!BV30,'📥 DADOS BRUTOS'!CA30))</x:f>
      </x:c>
      <x:c r="G30" s="84" t="str">
        <x:f>IF(COUNT('📥 DADOS BRUTOS'!AQ30:CC30)&lt;39,"",AVERAGE(6-'📥 DADOS BRUTOS'!AU30,6-'📥 DADOS BRUTOS'!AX30,6-'📥 DADOS BRUTOS'!BC30,6-'📥 DADOS BRUTOS'!BH30,6-'📥 DADOS BRUTOS'!BM30,6-'📥 DADOS BRUTOS'!BR30,6-'📥 DADOS BRUTOS'!BX30,6-'📥 DADOS BRUTOS'!CB30))</x:f>
      </x:c>
      <x:c r="H30" s="84" t="str">
        <x:f>IF(COUNT('📥 DADOS BRUTOS'!AQ30:CC30)&lt;39,"",AVERAGE(6-'📥 DADOS BRUTOS'!AS30,6-'📥 DADOS BRUTOS'!AZ30,6-'📥 DADOS BRUTOS'!BD30,6-'📥 DADOS BRUTOS'!BG30,6-'📥 DADOS BRUTOS'!BO30,6-'📥 DADOS BRUTOS'!BT30,6-'📥 DADOS BRUTOS'!BY30,6-'📥 DADOS BRUTOS'!CC30))</x:f>
      </x:c>
      <x:c r="I30" s="84" t="str">
        <x:f>IF(COUNT('📥 DADOS BRUTOS'!AQ30:CC30)&lt;39,"",AVERAGE('📥 DADOS BRUTOS'!AT30,'📥 DADOS BRUTOS'!AY30,'📥 DADOS BRUTOS'!BI30,'📥 DADOS BRUTOS'!BK30,'📥 DADOS BRUTOS'!BN30,'📥 DADOS BRUTOS'!BS30,'📥 DADOS BRUTOS'!BW30))</x:f>
      </x:c>
      <x:c r="J30" s="85" t="str">
        <x:f t="shared" si="0">IF(COUNT(E30:I30)&lt;5,"",AVERAGE(E30:I30))</x:f>
      </x:c>
      <x:c r="K30" s="31" t="str">
        <x:f>IF(COUNT('📥 DADOS BRUTOS'!AQ30:CC30)&lt;39,"",SUM('📥 DADOS BRUTOS'!AQ30,'📥 DADOS BRUTOS'!AR30,6-'📥 DADOS BRUTOS'!AS30,'📥 DADOS BRUTOS'!AT30,6-'📥 DADOS BRUTOS'!AU30,'📥 DADOS BRUTOS'!AV30,'📥 DADOS BRUTOS'!AW30,6-'📥 DADOS BRUTOS'!AX30,'📥 DADOS BRUTOS'!AY30,6-'📥 DADOS BRUTOS'!AZ30,'📥 DADOS BRUTOS'!BA30,6-'📥 DADOS BRUTOS'!BB30,6-'📥 DADOS BRUTOS'!BC30,6-'📥 DADOS BRUTOS'!BD30,'📥 DADOS BRUTOS'!BE30,6-'📥 DADOS BRUTOS'!BF30,6-'📥 DADOS BRUTOS'!BG30,6-'📥 DADOS BRUTOS'!BH30,'📥 DADOS BRUTOS'!BI30,'📥 DADOS BRUTOS'!BJ30,'📥 DADOS BRUTOS'!BK30,'📥 DADOS BRUTOS'!BL30,6-'📥 DADOS BRUTOS'!BM30,'📥 DADOS BRUTOS'!BN30,6-'📥 DADOS BRUTOS'!BO30,'📥 DADOS BRUTOS'!BP30,'📥 DADOS BRUTOS'!BQ30,6-'📥 DADOS BRUTOS'!BR30,'📥 DADOS BRUTOS'!BS30,6-'📥 DADOS BRUTOS'!BT30,'📥 DADOS BRUTOS'!BU30,6-'📥 DADOS BRUTOS'!BV30,'📥 DADOS BRUTOS'!BW30,6-'📥 DADOS BRUTOS'!BX30,6-'📥 DADOS BRUTOS'!BY30,'📥 DADOS BRUTOS'!BZ30,'📥 DADOS BRUTOS'!CA30,6-'📥 DADOS BRUTOS'!CB30,6-'📥 DADOS BRUTOS'!CC30))</x:f>
      </x:c>
    </x:row>
    <x:row r="31" ht="18" customHeight="1">
      <x:c r="B31" s="26" t="str">
        <x:f>IF(COUNTA('📥 DADOS BRUTOS'!B31)=0,"",'📥 DADOS BRUTOS'!B31)</x:f>
      </x:c>
      <x:c r="C31" s="26" t="str">
        <x:f>IF(COUNTA('📥 DADOS BRUTOS'!C31)=0,"",'📥 DADOS BRUTOS'!C31)</x:f>
      </x:c>
      <x:c r="D31" s="26" t="str">
        <x:f>IF(COUNTA('📥 DADOS BRUTOS'!D31)=0,"",'📥 DADOS BRUTOS'!D31)</x:f>
      </x:c>
      <x:c r="E31" s="36" t="str">
        <x:f>IF(COUNT('📥 DADOS BRUTOS'!AQ31:CC31)&lt;39,"",AVERAGE('📥 DADOS BRUTOS'!AQ31,'📥 DADOS BRUTOS'!AV31,'📥 DADOS BRUTOS'!BA31,'📥 DADOS BRUTOS'!BE31,'📥 DADOS BRUTOS'!BJ31,'📥 DADOS BRUTOS'!BP31,'📥 DADOS BRUTOS'!BU31,'📥 DADOS BRUTOS'!BZ31))</x:f>
      </x:c>
      <x:c r="F31" s="36" t="str">
        <x:f>IF(COUNT('📥 DADOS BRUTOS'!AQ31:CC31)&lt;39,"",AVERAGE('📥 DADOS BRUTOS'!AR31,'📥 DADOS BRUTOS'!AW31,6-'📥 DADOS BRUTOS'!BB31,6-'📥 DADOS BRUTOS'!BF31,'📥 DADOS BRUTOS'!BL31,'📥 DADOS BRUTOS'!BQ31,6-'📥 DADOS BRUTOS'!BV31,'📥 DADOS BRUTOS'!CA31))</x:f>
      </x:c>
      <x:c r="G31" s="36" t="str">
        <x:f>IF(COUNT('📥 DADOS BRUTOS'!AQ31:CC31)&lt;39,"",AVERAGE(6-'📥 DADOS BRUTOS'!AU31,6-'📥 DADOS BRUTOS'!AX31,6-'📥 DADOS BRUTOS'!BC31,6-'📥 DADOS BRUTOS'!BH31,6-'📥 DADOS BRUTOS'!BM31,6-'📥 DADOS BRUTOS'!BR31,6-'📥 DADOS BRUTOS'!BX31,6-'📥 DADOS BRUTOS'!CB31))</x:f>
      </x:c>
      <x:c r="H31" s="36" t="str">
        <x:f>IF(COUNT('📥 DADOS BRUTOS'!AQ31:CC31)&lt;39,"",AVERAGE(6-'📥 DADOS BRUTOS'!AS31,6-'📥 DADOS BRUTOS'!AZ31,6-'📥 DADOS BRUTOS'!BD31,6-'📥 DADOS BRUTOS'!BG31,6-'📥 DADOS BRUTOS'!BO31,6-'📥 DADOS BRUTOS'!BT31,6-'📥 DADOS BRUTOS'!BY31,6-'📥 DADOS BRUTOS'!CC31))</x:f>
      </x:c>
      <x:c r="I31" s="36" t="str">
        <x:f>IF(COUNT('📥 DADOS BRUTOS'!AQ31:CC31)&lt;39,"",AVERAGE('📥 DADOS BRUTOS'!AT31,'📥 DADOS BRUTOS'!AY31,'📥 DADOS BRUTOS'!BI31,'📥 DADOS BRUTOS'!BK31,'📥 DADOS BRUTOS'!BN31,'📥 DADOS BRUTOS'!BS31,'📥 DADOS BRUTOS'!BW31))</x:f>
      </x:c>
      <x:c r="J31" s="83" t="str">
        <x:f t="shared" si="0">IF(COUNT(E31:I31)&lt;5,"",AVERAGE(E31:I31))</x:f>
      </x:c>
      <x:c r="K31" s="27" t="str">
        <x:f>IF(COUNT('📥 DADOS BRUTOS'!AQ31:CC31)&lt;39,"",SUM('📥 DADOS BRUTOS'!AQ31,'📥 DADOS BRUTOS'!AR31,6-'📥 DADOS BRUTOS'!AS31,'📥 DADOS BRUTOS'!AT31,6-'📥 DADOS BRUTOS'!AU31,'📥 DADOS BRUTOS'!AV31,'📥 DADOS BRUTOS'!AW31,6-'📥 DADOS BRUTOS'!AX31,'📥 DADOS BRUTOS'!AY31,6-'📥 DADOS BRUTOS'!AZ31,'📥 DADOS BRUTOS'!BA31,6-'📥 DADOS BRUTOS'!BB31,6-'📥 DADOS BRUTOS'!BC31,6-'📥 DADOS BRUTOS'!BD31,'📥 DADOS BRUTOS'!BE31,6-'📥 DADOS BRUTOS'!BF31,6-'📥 DADOS BRUTOS'!BG31,6-'📥 DADOS BRUTOS'!BH31,'📥 DADOS BRUTOS'!BI31,'📥 DADOS BRUTOS'!BJ31,'📥 DADOS BRUTOS'!BK31,'📥 DADOS BRUTOS'!BL31,6-'📥 DADOS BRUTOS'!BM31,'📥 DADOS BRUTOS'!BN31,6-'📥 DADOS BRUTOS'!BO31,'📥 DADOS BRUTOS'!BP31,'📥 DADOS BRUTOS'!BQ31,6-'📥 DADOS BRUTOS'!BR31,'📥 DADOS BRUTOS'!BS31,6-'📥 DADOS BRUTOS'!BT31,'📥 DADOS BRUTOS'!BU31,6-'📥 DADOS BRUTOS'!BV31,'📥 DADOS BRUTOS'!BW31,6-'📥 DADOS BRUTOS'!BX31,6-'📥 DADOS BRUTOS'!BY31,'📥 DADOS BRUTOS'!BZ31,'📥 DADOS BRUTOS'!CA31,6-'📥 DADOS BRUTOS'!CB31,6-'📥 DADOS BRUTOS'!CC31))</x:f>
      </x:c>
    </x:row>
    <x:row r="32" ht="18" customHeight="1">
      <x:c r="B32" s="30" t="str">
        <x:f>IF(COUNTA('📥 DADOS BRUTOS'!B32)=0,"",'📥 DADOS BRUTOS'!B32)</x:f>
      </x:c>
      <x:c r="C32" s="30" t="str">
        <x:f>IF(COUNTA('📥 DADOS BRUTOS'!C32)=0,"",'📥 DADOS BRUTOS'!C32)</x:f>
      </x:c>
      <x:c r="D32" s="30" t="str">
        <x:f>IF(COUNTA('📥 DADOS BRUTOS'!D32)=0,"",'📥 DADOS BRUTOS'!D32)</x:f>
      </x:c>
      <x:c r="E32" s="84" t="str">
        <x:f>IF(COUNT('📥 DADOS BRUTOS'!AQ32:CC32)&lt;39,"",AVERAGE('📥 DADOS BRUTOS'!AQ32,'📥 DADOS BRUTOS'!AV32,'📥 DADOS BRUTOS'!BA32,'📥 DADOS BRUTOS'!BE32,'📥 DADOS BRUTOS'!BJ32,'📥 DADOS BRUTOS'!BP32,'📥 DADOS BRUTOS'!BU32,'📥 DADOS BRUTOS'!BZ32))</x:f>
      </x:c>
      <x:c r="F32" s="84" t="str">
        <x:f>IF(COUNT('📥 DADOS BRUTOS'!AQ32:CC32)&lt;39,"",AVERAGE('📥 DADOS BRUTOS'!AR32,'📥 DADOS BRUTOS'!AW32,6-'📥 DADOS BRUTOS'!BB32,6-'📥 DADOS BRUTOS'!BF32,'📥 DADOS BRUTOS'!BL32,'📥 DADOS BRUTOS'!BQ32,6-'📥 DADOS BRUTOS'!BV32,'📥 DADOS BRUTOS'!CA32))</x:f>
      </x:c>
      <x:c r="G32" s="84" t="str">
        <x:f>IF(COUNT('📥 DADOS BRUTOS'!AQ32:CC32)&lt;39,"",AVERAGE(6-'📥 DADOS BRUTOS'!AU32,6-'📥 DADOS BRUTOS'!AX32,6-'📥 DADOS BRUTOS'!BC32,6-'📥 DADOS BRUTOS'!BH32,6-'📥 DADOS BRUTOS'!BM32,6-'📥 DADOS BRUTOS'!BR32,6-'📥 DADOS BRUTOS'!BX32,6-'📥 DADOS BRUTOS'!CB32))</x:f>
      </x:c>
      <x:c r="H32" s="84" t="str">
        <x:f>IF(COUNT('📥 DADOS BRUTOS'!AQ32:CC32)&lt;39,"",AVERAGE(6-'📥 DADOS BRUTOS'!AS32,6-'📥 DADOS BRUTOS'!AZ32,6-'📥 DADOS BRUTOS'!BD32,6-'📥 DADOS BRUTOS'!BG32,6-'📥 DADOS BRUTOS'!BO32,6-'📥 DADOS BRUTOS'!BT32,6-'📥 DADOS BRUTOS'!BY32,6-'📥 DADOS BRUTOS'!CC32))</x:f>
      </x:c>
      <x:c r="I32" s="84" t="str">
        <x:f>IF(COUNT('📥 DADOS BRUTOS'!AQ32:CC32)&lt;39,"",AVERAGE('📥 DADOS BRUTOS'!AT32,'📥 DADOS BRUTOS'!AY32,'📥 DADOS BRUTOS'!BI32,'📥 DADOS BRUTOS'!BK32,'📥 DADOS BRUTOS'!BN32,'📥 DADOS BRUTOS'!BS32,'📥 DADOS BRUTOS'!BW32))</x:f>
      </x:c>
      <x:c r="J32" s="85" t="str">
        <x:f t="shared" si="0">IF(COUNT(E32:I32)&lt;5,"",AVERAGE(E32:I32))</x:f>
      </x:c>
      <x:c r="K32" s="31" t="str">
        <x:f>IF(COUNT('📥 DADOS BRUTOS'!AQ32:CC32)&lt;39,"",SUM('📥 DADOS BRUTOS'!AQ32,'📥 DADOS BRUTOS'!AR32,6-'📥 DADOS BRUTOS'!AS32,'📥 DADOS BRUTOS'!AT32,6-'📥 DADOS BRUTOS'!AU32,'📥 DADOS BRUTOS'!AV32,'📥 DADOS BRUTOS'!AW32,6-'📥 DADOS BRUTOS'!AX32,'📥 DADOS BRUTOS'!AY32,6-'📥 DADOS BRUTOS'!AZ32,'📥 DADOS BRUTOS'!BA32,6-'📥 DADOS BRUTOS'!BB32,6-'📥 DADOS BRUTOS'!BC32,6-'📥 DADOS BRUTOS'!BD32,'📥 DADOS BRUTOS'!BE32,6-'📥 DADOS BRUTOS'!BF32,6-'📥 DADOS BRUTOS'!BG32,6-'📥 DADOS BRUTOS'!BH32,'📥 DADOS BRUTOS'!BI32,'📥 DADOS BRUTOS'!BJ32,'📥 DADOS BRUTOS'!BK32,'📥 DADOS BRUTOS'!BL32,6-'📥 DADOS BRUTOS'!BM32,'📥 DADOS BRUTOS'!BN32,6-'📥 DADOS BRUTOS'!BO32,'📥 DADOS BRUTOS'!BP32,'📥 DADOS BRUTOS'!BQ32,6-'📥 DADOS BRUTOS'!BR32,'📥 DADOS BRUTOS'!BS32,6-'📥 DADOS BRUTOS'!BT32,'📥 DADOS BRUTOS'!BU32,6-'📥 DADOS BRUTOS'!BV32,'📥 DADOS BRUTOS'!BW32,6-'📥 DADOS BRUTOS'!BX32,6-'📥 DADOS BRUTOS'!BY32,'📥 DADOS BRUTOS'!BZ32,'📥 DADOS BRUTOS'!CA32,6-'📥 DADOS BRUTOS'!CB32,6-'📥 DADOS BRUTOS'!CC32))</x:f>
      </x:c>
    </x:row>
    <x:row r="34" ht="21.75" customHeight="1">
      <x:c r="B34" s="151" t="s">
        <x:v>45</x:v>
      </x:c>
      <x:c r="C34" s="145"/>
      <x:c r="D34" s="145"/>
      <x:c r="E34" s="145"/>
      <x:c r="F34" s="145"/>
      <x:c r="G34" s="145"/>
      <x:c r="H34" s="145"/>
      <x:c r="I34" s="145"/>
      <x:c r="J34" s="150"/>
    </x:row>
    <x:row r="35" ht="15" customHeight="1">
      <x:c r="B35" s="34" t="s">
        <x:v>203</x:v>
      </x:c>
      <x:c r="C35" s="18" t="s">
        <x:v>47</x:v>
      </x:c>
      <x:c r="D35" s="18" t="s">
        <x:v>48</x:v>
      </x:c>
      <x:c r="E35" s="18" t="s">
        <x:v>49</x:v>
      </x:c>
      <x:c r="F35" s="18" t="s">
        <x:v>50</x:v>
      </x:c>
    </x:row>
    <x:row r="36" ht="15" customHeight="1">
      <x:c r="B36" s="7" t="s">
        <x:v>196</x:v>
      </x:c>
      <x:c r="C36" s="36" t="str">
        <x:f>IFERROR(AVERAGEIF(C3:C32,"S1",E3:E32),"")</x:f>
      </x:c>
      <x:c r="D36" s="36" t="str">
        <x:f>IFERROR(AVERAGEIF(C3:C32,"S4",E3:E32),"")</x:f>
      </x:c>
      <x:c r="E36" s="36" t="str">
        <x:f>IFERROR(AVERAGEIF(C3:C32,"S8",E3:E32),"")</x:f>
      </x:c>
      <x:c r="F36" s="40" t="n">
        <x:f t="shared" ref="F36:F41" si="1">IFERROR(E36-C36,"")</x:f>
        <x:v>0</x:v>
      </x:c>
    </x:row>
    <x:row r="37" ht="15" customHeight="1">
      <x:c r="B37" s="7" t="s">
        <x:v>197</x:v>
      </x:c>
      <x:c r="C37" s="36" t="str">
        <x:f>IFERROR(AVERAGEIF(C3:C32,"S1",F3:F32),"")</x:f>
      </x:c>
      <x:c r="D37" s="36" t="str">
        <x:f>IFERROR(AVERAGEIF(C3:C32,"S4",F3:F32),"")</x:f>
      </x:c>
      <x:c r="E37" s="36" t="str">
        <x:f>IFERROR(AVERAGEIF(C3:C32,"S8",F3:F32),"")</x:f>
      </x:c>
      <x:c r="F37" s="40" t="str">
        <x:f t="shared" si="1"/>
      </x:c>
    </x:row>
    <x:row r="38" ht="15" customHeight="1">
      <x:c r="B38" s="7" t="s">
        <x:v>198</x:v>
      </x:c>
      <x:c r="C38" s="36" t="str">
        <x:f>IFERROR(AVERAGEIF(C3:C32,"S1",G3:G32),"")</x:f>
      </x:c>
      <x:c r="D38" s="36" t="str">
        <x:f>IFERROR(AVERAGEIF(C3:C32,"S4",G3:G32),"")</x:f>
      </x:c>
      <x:c r="E38" s="36" t="str">
        <x:f>IFERROR(AVERAGEIF(C3:C32,"S8",G3:G32),"")</x:f>
      </x:c>
      <x:c r="F38" s="40" t="str">
        <x:f t="shared" si="1"/>
      </x:c>
    </x:row>
    <x:row r="39" ht="15" customHeight="1">
      <x:c r="B39" s="7" t="s">
        <x:v>199</x:v>
      </x:c>
      <x:c r="C39" s="36" t="str">
        <x:f>IFERROR(AVERAGEIF(C3:C32,"S1",H3:H32),"")</x:f>
      </x:c>
      <x:c r="D39" s="36" t="str">
        <x:f>IFERROR(AVERAGEIF(C3:C32,"S4",H3:H32),"")</x:f>
      </x:c>
      <x:c r="E39" s="36" t="str">
        <x:f>IFERROR(AVERAGEIF(C3:C32,"S8",H3:H32),"")</x:f>
      </x:c>
      <x:c r="F39" s="40" t="str">
        <x:f t="shared" si="1"/>
      </x:c>
    </x:row>
    <x:row r="40" ht="15" customHeight="1">
      <x:c r="B40" s="7" t="s">
        <x:v>200</x:v>
      </x:c>
      <x:c r="C40" s="36" t="str">
        <x:f>IFERROR(AVERAGEIF(C3:C32,"S1",I3:I32),"")</x:f>
      </x:c>
      <x:c r="D40" s="36" t="str">
        <x:f>IFERROR(AVERAGEIF(C3:C32,"S4",I3:I32),"")</x:f>
      </x:c>
      <x:c r="E40" s="36" t="str">
        <x:f>IFERROR(AVERAGEIF(C3:C32,"S8",I3:I32),"")</x:f>
      </x:c>
      <x:c r="F40" s="40" t="str">
        <x:f t="shared" si="1"/>
      </x:c>
    </x:row>
    <x:row r="41" ht="15" customHeight="1">
      <x:c r="B41" s="86" t="s">
        <x:v>204</x:v>
      </x:c>
      <x:c r="C41" s="87" t="str">
        <x:f>IFERROR(AVERAGEIF(C3:C32,"S1",J3:J32),"")</x:f>
      </x:c>
      <x:c r="D41" s="87" t="str">
        <x:f>IFERROR(AVERAGEIF(C3:C32,"S4",J3:J32),"")</x:f>
      </x:c>
      <x:c r="E41" s="87" t="str">
        <x:f>IFERROR(AVERAGEIF(C3:C32,"S8",J3:J32),"")</x:f>
      </x:c>
      <x:c r="F41" s="88" t="str">
        <x:f t="shared" si="1"/>
      </x:c>
    </x:row>
  </x:sheetData>
  <x:mergeCells>
    <x:mergeCell ref="E1:I1"/>
    <x:mergeCell ref="J1:K1"/>
    <x:mergeCell ref="B1:D1"/>
    <x:mergeCell ref="B34:J34"/>
  </x:mergeCells>
  <x:conditionalFormatting sqref="E3:E32">
    <x:cfRule type="colorScale" priority="2">
      <x:colorScale>
        <x:cfvo type="num" val="1"/>
        <x:cfvo type="num" val="3"/>
        <x:cfvo type="num" val="5"/>
        <x:color rgb="FFFF6666"/>
        <x:color rgb="FFFFDD44"/>
        <x:color rgb="FF44CC44"/>
      </x:colorScale>
    </x:cfRule>
  </x:conditionalFormatting>
  <x:conditionalFormatting sqref="F3:F32">
    <x:cfRule type="colorScale" priority="3">
      <x:colorScale>
        <x:cfvo type="num" val="1"/>
        <x:cfvo type="num" val="3"/>
        <x:cfvo type="num" val="5"/>
        <x:color rgb="FFFF6666"/>
        <x:color rgb="FFFFDD44"/>
        <x:color rgb="FF44CC44"/>
      </x:colorScale>
    </x:cfRule>
  </x:conditionalFormatting>
  <x:conditionalFormatting sqref="G3:G32">
    <x:cfRule type="colorScale" priority="4">
      <x:colorScale>
        <x:cfvo type="num" val="1"/>
        <x:cfvo type="num" val="3"/>
        <x:cfvo type="num" val="5"/>
        <x:color rgb="FFFF6666"/>
        <x:color rgb="FFFFDD44"/>
        <x:color rgb="FF44CC44"/>
      </x:colorScale>
    </x:cfRule>
  </x:conditionalFormatting>
  <x:conditionalFormatting sqref="H3:H32">
    <x:cfRule type="colorScale" priority="5">
      <x:colorScale>
        <x:cfvo type="num" val="1"/>
        <x:cfvo type="num" val="3"/>
        <x:cfvo type="num" val="5"/>
        <x:color rgb="FFFF6666"/>
        <x:color rgb="FFFFDD44"/>
        <x:color rgb="FF44CC44"/>
      </x:colorScale>
    </x:cfRule>
  </x:conditionalFormatting>
  <x:conditionalFormatting sqref="I3:I32">
    <x:cfRule type="colorScale" priority="6">
      <x:colorScale>
        <x:cfvo type="num" val="1"/>
        <x:cfvo type="num" val="3"/>
        <x:cfvo type="num" val="5"/>
        <x:color rgb="FFFF6666"/>
        <x:color rgb="FFFFDD44"/>
        <x:color rgb="FF44CC44"/>
      </x:colorScale>
    </x:cfRule>
  </x:conditionalFormatting>
  <x:conditionalFormatting sqref="J3:J32">
    <x:cfRule type="colorScale" priority="7">
      <x:colorScale>
        <x:cfvo type="num" val="1"/>
        <x:cfvo type="num" val="3"/>
        <x:cfvo type="num" val="5"/>
        <x:color rgb="FFFF6666"/>
        <x:color rgb="FFFFDD44"/>
        <x:color rgb="FF44CC44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5"/>
  <x:cols>
    <x:col min="1" max="1" width="3" customWidth="1"/>
    <x:col min="2" max="2" width="20" customWidth="1"/>
    <x:col min="3" max="3" width="10" customWidth="1"/>
    <x:col min="4" max="4" width="12" customWidth="1"/>
    <x:col min="5" max="12" width="16" customWidth="1"/>
    <x:col min="13" max="13" width="14" customWidth="1"/>
  </x:cols>
  <x:sheetData>
    <x:row r="1" ht="21.75" customHeight="1">
      <x:c r="B1" s="149" t="s">
        <x:v>32</x:v>
      </x:c>
      <x:c r="C1" s="145"/>
      <x:c r="D1" s="150"/>
      <x:c r="E1" s="161" t="s">
        <x:v>205</x:v>
      </x:c>
      <x:c r="F1" s="145"/>
      <x:c r="G1" s="145"/>
      <x:c r="H1" s="145"/>
      <x:c r="I1" s="145"/>
      <x:c r="J1" s="145"/>
      <x:c r="K1" s="145"/>
      <x:c r="L1" s="150"/>
      <x:c r="M1" s="75" t="s">
        <x:v>206</x:v>
      </x:c>
    </x:row>
    <x:row r="2" ht="34.5" customHeight="1">
      <x:c r="B2" s="18" t="s">
        <x:v>35</x:v>
      </x:c>
      <x:c r="C2" s="18" t="s">
        <x:v>36</x:v>
      </x:c>
      <x:c r="D2" s="18" t="s">
        <x:v>37</x:v>
      </x:c>
      <x:c r="E2" s="89" t="s">
        <x:v>207</x:v>
      </x:c>
      <x:c r="F2" s="90" t="s">
        <x:v>208</x:v>
      </x:c>
      <x:c r="G2" s="91" t="s">
        <x:v>209</x:v>
      </x:c>
      <x:c r="H2" s="92" t="s">
        <x:v>210</x:v>
      </x:c>
      <x:c r="I2" s="93" t="s">
        <x:v>211</x:v>
      </x:c>
      <x:c r="J2" s="94" t="s">
        <x:v>212</x:v>
      </x:c>
      <x:c r="K2" s="95" t="s">
        <x:v>213</x:v>
      </x:c>
      <x:c r="L2" s="96" t="s">
        <x:v>214</x:v>
      </x:c>
      <x:c r="M2" s="81" t="str">
        <x:v>Média global
(exploratória)</x:v>
      </x:c>
    </x:row>
    <x:row r="3" ht="18" customHeight="1">
      <x:c r="B3" s="26" t="str">
        <x:f>IF(COUNTA('📥 DADOS BRUTOS'!B3)=0,"",'📥 DADOS BRUTOS'!B3)</x:f>
      </x:c>
      <x:c r="C3" s="26" t="str">
        <x:f>IF(COUNTA('📥 DADOS BRUTOS'!C3)=0,"",'📥 DADOS BRUTOS'!C3)</x:f>
      </x:c>
      <x:c r="D3" s="26" t="str">
        <x:f>IF(COUNTA('📥 DADOS BRUTOS'!D3)=0,"",'📥 DADOS BRUTOS'!D3)</x:f>
      </x:c>
      <x:c r="E3" s="36" t="str">
        <x:f>IF(COUNT('📥 DADOS BRUTOS'!E3:H3)&lt;4,"",AVERAGE('📥 DADOS BRUTOS'!E3:H3))</x:f>
      </x:c>
      <x:c r="F3" s="36" t="str">
        <x:f>IF(COUNT('📥 DADOS BRUTOS'!I3:N3)&lt;6,"",AVERAGE(5-'📥 DADOS BRUTOS'!I3,5-'📥 DADOS BRUTOS'!J3,5-'📥 DADOS BRUTOS'!K3,5-'📥 DADOS BRUTOS'!L3,5-'📥 DADOS BRUTOS'!M3,5-'📥 DADOS BRUTOS'!N3))</x:f>
      </x:c>
      <x:c r="G3" s="36" t="str">
        <x:f>IF(COUNT('📥 DADOS BRUTOS'!O3:S3)&lt;5,"",AVERAGE(5-'📥 DADOS BRUTOS'!O3,5-'📥 DADOS BRUTOS'!P3,'📥 DADOS BRUTOS'!Q3,'📥 DADOS BRUTOS'!R3,5-'📥 DADOS BRUTOS'!S3))</x:f>
      </x:c>
      <x:c r="H3" s="36" t="str">
        <x:f>IF(COUNT('📥 DADOS BRUTOS'!T3:Z3)&lt;7,"",AVERAGE('📥 DADOS BRUTOS'!T3:Z3))</x:f>
      </x:c>
      <x:c r="I3" s="36" t="str">
        <x:f>IF(COUNT('📥 DADOS BRUTOS'!AA3:AE3)&lt;5,"",AVERAGE('📥 DADOS BRUTOS'!AA3:AE3))</x:f>
      </x:c>
      <x:c r="J3" s="36" t="str">
        <x:f>IF(COUNT('📥 DADOS BRUTOS'!AF3:AI3)&lt;4,"",AVERAGE('📥 DADOS BRUTOS'!AF3:AI3))</x:f>
      </x:c>
      <x:c r="K3" s="36" t="str">
        <x:f>IF(COUNT('📥 DADOS BRUTOS'!AJ3:AL3)&lt;3,"",AVERAGE('📥 DADOS BRUTOS'!AJ3:AL3))</x:f>
      </x:c>
      <x:c r="L3" s="36" t="str">
        <x:f>IF(COUNT('📥 DADOS BRUTOS'!AM3:AO3)&lt;3,"",AVERAGE('📥 DADOS BRUTOS'!AM3:AO3))</x:f>
      </x:c>
      <x:c r="M3" s="97" t="str">
        <x:f t="shared" ref="M3:M32" si="0">IF(COUNT(E3:L3)&lt;8,"",AVERAGE(E3:L3))</x:f>
      </x:c>
    </x:row>
    <x:row r="4" ht="18" customHeight="1">
      <x:c r="B4" s="30" t="str">
        <x:f>IF(COUNTA('📥 DADOS BRUTOS'!B4)=0,"",'📥 DADOS BRUTOS'!B4)</x:f>
      </x:c>
      <x:c r="C4" s="30" t="str">
        <x:f>IF(COUNTA('📥 DADOS BRUTOS'!C4)=0,"",'📥 DADOS BRUTOS'!C4)</x:f>
      </x:c>
      <x:c r="D4" s="30" t="str">
        <x:f>IF(COUNTA('📥 DADOS BRUTOS'!D4)=0,"",'📥 DADOS BRUTOS'!D4)</x:f>
      </x:c>
      <x:c r="E4" s="84" t="str">
        <x:f>IF(COUNT('📥 DADOS BRUTOS'!E4:H4)&lt;4,"",AVERAGE('📥 DADOS BRUTOS'!E4:H4))</x:f>
      </x:c>
      <x:c r="F4" s="84" t="str">
        <x:f>IF(COUNT('📥 DADOS BRUTOS'!I4:N4)&lt;6,"",AVERAGE(5-'📥 DADOS BRUTOS'!I4,5-'📥 DADOS BRUTOS'!J4,5-'📥 DADOS BRUTOS'!K4,5-'📥 DADOS BRUTOS'!L4,5-'📥 DADOS BRUTOS'!M4,5-'📥 DADOS BRUTOS'!N4))</x:f>
      </x:c>
      <x:c r="G4" s="84" t="str">
        <x:f>IF(COUNT('📥 DADOS BRUTOS'!O4:S4)&lt;5,"",AVERAGE(5-'📥 DADOS BRUTOS'!O4,5-'📥 DADOS BRUTOS'!P4,'📥 DADOS BRUTOS'!Q4,'📥 DADOS BRUTOS'!R4,5-'📥 DADOS BRUTOS'!S4))</x:f>
      </x:c>
      <x:c r="H4" s="84" t="str">
        <x:f>IF(COUNT('📥 DADOS BRUTOS'!T4:Z4)&lt;7,"",AVERAGE('📥 DADOS BRUTOS'!T4:Z4))</x:f>
      </x:c>
      <x:c r="I4" s="84" t="str">
        <x:f>IF(COUNT('📥 DADOS BRUTOS'!AA4:AE4)&lt;5,"",AVERAGE('📥 DADOS BRUTOS'!AA4:AE4))</x:f>
      </x:c>
      <x:c r="J4" s="84" t="str">
        <x:f>IF(COUNT('📥 DADOS BRUTOS'!AF4:AI4)&lt;4,"",AVERAGE('📥 DADOS BRUTOS'!AF4:AI4))</x:f>
      </x:c>
      <x:c r="K4" s="84" t="str">
        <x:f>IF(COUNT('📥 DADOS BRUTOS'!AJ4:AL4)&lt;3,"",AVERAGE('📥 DADOS BRUTOS'!AJ4:AL4))</x:f>
      </x:c>
      <x:c r="L4" s="84" t="str">
        <x:f>IF(COUNT('📥 DADOS BRUTOS'!AM4:AO4)&lt;3,"",AVERAGE('📥 DADOS BRUTOS'!AM4:AO4))</x:f>
      </x:c>
      <x:c r="M4" s="98" t="str">
        <x:f t="shared" si="0">IF(COUNT(E4:L4)&lt;8,"",AVERAGE(E4:L4))</x:f>
      </x:c>
    </x:row>
    <x:row r="5" ht="18" customHeight="1">
      <x:c r="B5" s="26" t="str">
        <x:f>IF(COUNTA('📥 DADOS BRUTOS'!B5)=0,"",'📥 DADOS BRUTOS'!B5)</x:f>
      </x:c>
      <x:c r="C5" s="26" t="str">
        <x:f>IF(COUNTA('📥 DADOS BRUTOS'!C5)=0,"",'📥 DADOS BRUTOS'!C5)</x:f>
      </x:c>
      <x:c r="D5" s="26" t="str">
        <x:f>IF(COUNTA('📥 DADOS BRUTOS'!D5)=0,"",'📥 DADOS BRUTOS'!D5)</x:f>
      </x:c>
      <x:c r="E5" s="36" t="str">
        <x:f>IF(COUNT('📥 DADOS BRUTOS'!E5:H5)&lt;4,"",AVERAGE('📥 DADOS BRUTOS'!E5:H5))</x:f>
      </x:c>
      <x:c r="F5" s="36" t="str">
        <x:f>IF(COUNT('📥 DADOS BRUTOS'!I5:N5)&lt;6,"",AVERAGE(5-'📥 DADOS BRUTOS'!I5,5-'📥 DADOS BRUTOS'!J5,5-'📥 DADOS BRUTOS'!K5,5-'📥 DADOS BRUTOS'!L5,5-'📥 DADOS BRUTOS'!M5,5-'📥 DADOS BRUTOS'!N5))</x:f>
      </x:c>
      <x:c r="G5" s="36" t="str">
        <x:f>IF(COUNT('📥 DADOS BRUTOS'!O5:S5)&lt;5,"",AVERAGE(5-'📥 DADOS BRUTOS'!O5,5-'📥 DADOS BRUTOS'!P5,'📥 DADOS BRUTOS'!Q5,'📥 DADOS BRUTOS'!R5,5-'📥 DADOS BRUTOS'!S5))</x:f>
      </x:c>
      <x:c r="H5" s="36" t="str">
        <x:f>IF(COUNT('📥 DADOS BRUTOS'!T5:Z5)&lt;7,"",AVERAGE('📥 DADOS BRUTOS'!T5:Z5))</x:f>
      </x:c>
      <x:c r="I5" s="36" t="str">
        <x:f>IF(COUNT('📥 DADOS BRUTOS'!AA5:AE5)&lt;5,"",AVERAGE('📥 DADOS BRUTOS'!AA5:AE5))</x:f>
      </x:c>
      <x:c r="J5" s="36" t="str">
        <x:f>IF(COUNT('📥 DADOS BRUTOS'!AF5:AI5)&lt;4,"",AVERAGE('📥 DADOS BRUTOS'!AF5:AI5))</x:f>
      </x:c>
      <x:c r="K5" s="36" t="str">
        <x:f>IF(COUNT('📥 DADOS BRUTOS'!AJ5:AL5)&lt;3,"",AVERAGE('📥 DADOS BRUTOS'!AJ5:AL5))</x:f>
      </x:c>
      <x:c r="L5" s="36" t="str">
        <x:f>IF(COUNT('📥 DADOS BRUTOS'!AM5:AO5)&lt;3,"",AVERAGE('📥 DADOS BRUTOS'!AM5:AO5))</x:f>
      </x:c>
      <x:c r="M5" s="97" t="str">
        <x:f t="shared" si="0">IF(COUNT(E5:L5)&lt;8,"",AVERAGE(E5:L5))</x:f>
      </x:c>
    </x:row>
    <x:row r="6" ht="18" customHeight="1">
      <x:c r="B6" s="30" t="str">
        <x:f>IF(COUNTA('📥 DADOS BRUTOS'!B6)=0,"",'📥 DADOS BRUTOS'!B6)</x:f>
      </x:c>
      <x:c r="C6" s="30" t="str">
        <x:f>IF(COUNTA('📥 DADOS BRUTOS'!C6)=0,"",'📥 DADOS BRUTOS'!C6)</x:f>
      </x:c>
      <x:c r="D6" s="30" t="str">
        <x:f>IF(COUNTA('📥 DADOS BRUTOS'!D6)=0,"",'📥 DADOS BRUTOS'!D6)</x:f>
      </x:c>
      <x:c r="E6" s="84" t="str">
        <x:f>IF(COUNT('📥 DADOS BRUTOS'!E6:H6)&lt;4,"",AVERAGE('📥 DADOS BRUTOS'!E6:H6))</x:f>
      </x:c>
      <x:c r="F6" s="84" t="str">
        <x:f>IF(COUNT('📥 DADOS BRUTOS'!I6:N6)&lt;6,"",AVERAGE(5-'📥 DADOS BRUTOS'!I6,5-'📥 DADOS BRUTOS'!J6,5-'📥 DADOS BRUTOS'!K6,5-'📥 DADOS BRUTOS'!L6,5-'📥 DADOS BRUTOS'!M6,5-'📥 DADOS BRUTOS'!N6))</x:f>
      </x:c>
      <x:c r="G6" s="84" t="str">
        <x:f>IF(COUNT('📥 DADOS BRUTOS'!O6:S6)&lt;5,"",AVERAGE(5-'📥 DADOS BRUTOS'!O6,5-'📥 DADOS BRUTOS'!P6,'📥 DADOS BRUTOS'!Q6,'📥 DADOS BRUTOS'!R6,5-'📥 DADOS BRUTOS'!S6))</x:f>
      </x:c>
      <x:c r="H6" s="84" t="str">
        <x:f>IF(COUNT('📥 DADOS BRUTOS'!T6:Z6)&lt;7,"",AVERAGE('📥 DADOS BRUTOS'!T6:Z6))</x:f>
      </x:c>
      <x:c r="I6" s="84" t="str">
        <x:f>IF(COUNT('📥 DADOS BRUTOS'!AA6:AE6)&lt;5,"",AVERAGE('📥 DADOS BRUTOS'!AA6:AE6))</x:f>
      </x:c>
      <x:c r="J6" s="84" t="str">
        <x:f>IF(COUNT('📥 DADOS BRUTOS'!AF6:AI6)&lt;4,"",AVERAGE('📥 DADOS BRUTOS'!AF6:AI6))</x:f>
      </x:c>
      <x:c r="K6" s="84" t="str">
        <x:f>IF(COUNT('📥 DADOS BRUTOS'!AJ6:AL6)&lt;3,"",AVERAGE('📥 DADOS BRUTOS'!AJ6:AL6))</x:f>
      </x:c>
      <x:c r="L6" s="84" t="str">
        <x:f>IF(COUNT('📥 DADOS BRUTOS'!AM6:AO6)&lt;3,"",AVERAGE('📥 DADOS BRUTOS'!AM6:AO6))</x:f>
      </x:c>
      <x:c r="M6" s="98" t="str">
        <x:f t="shared" si="0">IF(COUNT(E6:L6)&lt;8,"",AVERAGE(E6:L6))</x:f>
      </x:c>
    </x:row>
    <x:row r="7" ht="18" customHeight="1">
      <x:c r="B7" s="26" t="str">
        <x:f>IF(COUNTA('📥 DADOS BRUTOS'!B7)=0,"",'📥 DADOS BRUTOS'!B7)</x:f>
      </x:c>
      <x:c r="C7" s="26" t="str">
        <x:f>IF(COUNTA('📥 DADOS BRUTOS'!C7)=0,"",'📥 DADOS BRUTOS'!C7)</x:f>
      </x:c>
      <x:c r="D7" s="26" t="str">
        <x:f>IF(COUNTA('📥 DADOS BRUTOS'!D7)=0,"",'📥 DADOS BRUTOS'!D7)</x:f>
      </x:c>
      <x:c r="E7" s="36" t="str">
        <x:f>IF(COUNT('📥 DADOS BRUTOS'!E7:H7)&lt;4,"",AVERAGE('📥 DADOS BRUTOS'!E7:H7))</x:f>
      </x:c>
      <x:c r="F7" s="36" t="str">
        <x:f>IF(COUNT('📥 DADOS BRUTOS'!I7:N7)&lt;6,"",AVERAGE(5-'📥 DADOS BRUTOS'!I7,5-'📥 DADOS BRUTOS'!J7,5-'📥 DADOS BRUTOS'!K7,5-'📥 DADOS BRUTOS'!L7,5-'📥 DADOS BRUTOS'!M7,5-'📥 DADOS BRUTOS'!N7))</x:f>
      </x:c>
      <x:c r="G7" s="36" t="str">
        <x:f>IF(COUNT('📥 DADOS BRUTOS'!O7:S7)&lt;5,"",AVERAGE(5-'📥 DADOS BRUTOS'!O7,5-'📥 DADOS BRUTOS'!P7,'📥 DADOS BRUTOS'!Q7,'📥 DADOS BRUTOS'!R7,5-'📥 DADOS BRUTOS'!S7))</x:f>
      </x:c>
      <x:c r="H7" s="36" t="str">
        <x:f>IF(COUNT('📥 DADOS BRUTOS'!T7:Z7)&lt;7,"",AVERAGE('📥 DADOS BRUTOS'!T7:Z7))</x:f>
      </x:c>
      <x:c r="I7" s="36" t="str">
        <x:f>IF(COUNT('📥 DADOS BRUTOS'!AA7:AE7)&lt;5,"",AVERAGE('📥 DADOS BRUTOS'!AA7:AE7))</x:f>
      </x:c>
      <x:c r="J7" s="36" t="str">
        <x:f>IF(COUNT('📥 DADOS BRUTOS'!AF7:AI7)&lt;4,"",AVERAGE('📥 DADOS BRUTOS'!AF7:AI7))</x:f>
      </x:c>
      <x:c r="K7" s="36" t="str">
        <x:f>IF(COUNT('📥 DADOS BRUTOS'!AJ7:AL7)&lt;3,"",AVERAGE('📥 DADOS BRUTOS'!AJ7:AL7))</x:f>
      </x:c>
      <x:c r="L7" s="36" t="str">
        <x:f>IF(COUNT('📥 DADOS BRUTOS'!AM7:AO7)&lt;3,"",AVERAGE('📥 DADOS BRUTOS'!AM7:AO7))</x:f>
      </x:c>
      <x:c r="M7" s="97" t="str">
        <x:f t="shared" si="0">IF(COUNT(E7:L7)&lt;8,"",AVERAGE(E7:L7))</x:f>
      </x:c>
    </x:row>
    <x:row r="8" ht="18" customHeight="1">
      <x:c r="B8" s="30" t="str">
        <x:f>IF(COUNTA('📥 DADOS BRUTOS'!B8)=0,"",'📥 DADOS BRUTOS'!B8)</x:f>
      </x:c>
      <x:c r="C8" s="30" t="str">
        <x:f>IF(COUNTA('📥 DADOS BRUTOS'!C8)=0,"",'📥 DADOS BRUTOS'!C8)</x:f>
      </x:c>
      <x:c r="D8" s="30" t="str">
        <x:f>IF(COUNTA('📥 DADOS BRUTOS'!D8)=0,"",'📥 DADOS BRUTOS'!D8)</x:f>
      </x:c>
      <x:c r="E8" s="84" t="str">
        <x:f>IF(COUNT('📥 DADOS BRUTOS'!E8:H8)&lt;4,"",AVERAGE('📥 DADOS BRUTOS'!E8:H8))</x:f>
      </x:c>
      <x:c r="F8" s="84" t="str">
        <x:f>IF(COUNT('📥 DADOS BRUTOS'!I8:N8)&lt;6,"",AVERAGE(5-'📥 DADOS BRUTOS'!I8,5-'📥 DADOS BRUTOS'!J8,5-'📥 DADOS BRUTOS'!K8,5-'📥 DADOS BRUTOS'!L8,5-'📥 DADOS BRUTOS'!M8,5-'📥 DADOS BRUTOS'!N8))</x:f>
      </x:c>
      <x:c r="G8" s="84" t="str">
        <x:f>IF(COUNT('📥 DADOS BRUTOS'!O8:S8)&lt;5,"",AVERAGE(5-'📥 DADOS BRUTOS'!O8,5-'📥 DADOS BRUTOS'!P8,'📥 DADOS BRUTOS'!Q8,'📥 DADOS BRUTOS'!R8,5-'📥 DADOS BRUTOS'!S8))</x:f>
      </x:c>
      <x:c r="H8" s="84" t="str">
        <x:f>IF(COUNT('📥 DADOS BRUTOS'!T8:Z8)&lt;7,"",AVERAGE('📥 DADOS BRUTOS'!T8:Z8))</x:f>
      </x:c>
      <x:c r="I8" s="84" t="str">
        <x:f>IF(COUNT('📥 DADOS BRUTOS'!AA8:AE8)&lt;5,"",AVERAGE('📥 DADOS BRUTOS'!AA8:AE8))</x:f>
      </x:c>
      <x:c r="J8" s="84" t="str">
        <x:f>IF(COUNT('📥 DADOS BRUTOS'!AF8:AI8)&lt;4,"",AVERAGE('📥 DADOS BRUTOS'!AF8:AI8))</x:f>
      </x:c>
      <x:c r="K8" s="84" t="str">
        <x:f>IF(COUNT('📥 DADOS BRUTOS'!AJ8:AL8)&lt;3,"",AVERAGE('📥 DADOS BRUTOS'!AJ8:AL8))</x:f>
      </x:c>
      <x:c r="L8" s="84" t="str">
        <x:f>IF(COUNT('📥 DADOS BRUTOS'!AM8:AO8)&lt;3,"",AVERAGE('📥 DADOS BRUTOS'!AM8:AO8))</x:f>
      </x:c>
      <x:c r="M8" s="98" t="str">
        <x:f t="shared" si="0">IF(COUNT(E8:L8)&lt;8,"",AVERAGE(E8:L8))</x:f>
      </x:c>
    </x:row>
    <x:row r="9" ht="18" customHeight="1">
      <x:c r="B9" s="26" t="str">
        <x:f>IF(COUNTA('📥 DADOS BRUTOS'!B9)=0,"",'📥 DADOS BRUTOS'!B9)</x:f>
      </x:c>
      <x:c r="C9" s="26" t="str">
        <x:f>IF(COUNTA('📥 DADOS BRUTOS'!C9)=0,"",'📥 DADOS BRUTOS'!C9)</x:f>
      </x:c>
      <x:c r="D9" s="26" t="str">
        <x:f>IF(COUNTA('📥 DADOS BRUTOS'!D9)=0,"",'📥 DADOS BRUTOS'!D9)</x:f>
      </x:c>
      <x:c r="E9" s="36" t="str">
        <x:f>IF(COUNT('📥 DADOS BRUTOS'!E9:H9)&lt;4,"",AVERAGE('📥 DADOS BRUTOS'!E9:H9))</x:f>
      </x:c>
      <x:c r="F9" s="36" t="str">
        <x:f>IF(COUNT('📥 DADOS BRUTOS'!I9:N9)&lt;6,"",AVERAGE(5-'📥 DADOS BRUTOS'!I9,5-'📥 DADOS BRUTOS'!J9,5-'📥 DADOS BRUTOS'!K9,5-'📥 DADOS BRUTOS'!L9,5-'📥 DADOS BRUTOS'!M9,5-'📥 DADOS BRUTOS'!N9))</x:f>
      </x:c>
      <x:c r="G9" s="36" t="str">
        <x:f>IF(COUNT('📥 DADOS BRUTOS'!O9:S9)&lt;5,"",AVERAGE(5-'📥 DADOS BRUTOS'!O9,5-'📥 DADOS BRUTOS'!P9,'📥 DADOS BRUTOS'!Q9,'📥 DADOS BRUTOS'!R9,5-'📥 DADOS BRUTOS'!S9))</x:f>
      </x:c>
      <x:c r="H9" s="36" t="str">
        <x:f>IF(COUNT('📥 DADOS BRUTOS'!T9:Z9)&lt;7,"",AVERAGE('📥 DADOS BRUTOS'!T9:Z9))</x:f>
      </x:c>
      <x:c r="I9" s="36" t="str">
        <x:f>IF(COUNT('📥 DADOS BRUTOS'!AA9:AE9)&lt;5,"",AVERAGE('📥 DADOS BRUTOS'!AA9:AE9))</x:f>
      </x:c>
      <x:c r="J9" s="36" t="str">
        <x:f>IF(COUNT('📥 DADOS BRUTOS'!AF9:AI9)&lt;4,"",AVERAGE('📥 DADOS BRUTOS'!AF9:AI9))</x:f>
      </x:c>
      <x:c r="K9" s="36" t="str">
        <x:f>IF(COUNT('📥 DADOS BRUTOS'!AJ9:AL9)&lt;3,"",AVERAGE('📥 DADOS BRUTOS'!AJ9:AL9))</x:f>
      </x:c>
      <x:c r="L9" s="36" t="str">
        <x:f>IF(COUNT('📥 DADOS BRUTOS'!AM9:AO9)&lt;3,"",AVERAGE('📥 DADOS BRUTOS'!AM9:AO9))</x:f>
      </x:c>
      <x:c r="M9" s="97" t="str">
        <x:f t="shared" si="0">IF(COUNT(E9:L9)&lt;8,"",AVERAGE(E9:L9))</x:f>
      </x:c>
    </x:row>
    <x:row r="10" ht="18" customHeight="1">
      <x:c r="B10" s="30" t="str">
        <x:f>IF(COUNTA('📥 DADOS BRUTOS'!B10)=0,"",'📥 DADOS BRUTOS'!B10)</x:f>
      </x:c>
      <x:c r="C10" s="30" t="str">
        <x:f>IF(COUNTA('📥 DADOS BRUTOS'!C10)=0,"",'📥 DADOS BRUTOS'!C10)</x:f>
      </x:c>
      <x:c r="D10" s="30" t="str">
        <x:f>IF(COUNTA('📥 DADOS BRUTOS'!D10)=0,"",'📥 DADOS BRUTOS'!D10)</x:f>
      </x:c>
      <x:c r="E10" s="84" t="str">
        <x:f>IF(COUNT('📥 DADOS BRUTOS'!E10:H10)&lt;4,"",AVERAGE('📥 DADOS BRUTOS'!E10:H10))</x:f>
      </x:c>
      <x:c r="F10" s="84" t="str">
        <x:f>IF(COUNT('📥 DADOS BRUTOS'!I10:N10)&lt;6,"",AVERAGE(5-'📥 DADOS BRUTOS'!I10,5-'📥 DADOS BRUTOS'!J10,5-'📥 DADOS BRUTOS'!K10,5-'📥 DADOS BRUTOS'!L10,5-'📥 DADOS BRUTOS'!M10,5-'📥 DADOS BRUTOS'!N10))</x:f>
      </x:c>
      <x:c r="G10" s="84" t="str">
        <x:f>IF(COUNT('📥 DADOS BRUTOS'!O10:S10)&lt;5,"",AVERAGE(5-'📥 DADOS BRUTOS'!O10,5-'📥 DADOS BRUTOS'!P10,'📥 DADOS BRUTOS'!Q10,'📥 DADOS BRUTOS'!R10,5-'📥 DADOS BRUTOS'!S10))</x:f>
      </x:c>
      <x:c r="H10" s="84" t="str">
        <x:f>IF(COUNT('📥 DADOS BRUTOS'!T10:Z10)&lt;7,"",AVERAGE('📥 DADOS BRUTOS'!T10:Z10))</x:f>
      </x:c>
      <x:c r="I10" s="84" t="str">
        <x:f>IF(COUNT('📥 DADOS BRUTOS'!AA10:AE10)&lt;5,"",AVERAGE('📥 DADOS BRUTOS'!AA10:AE10))</x:f>
      </x:c>
      <x:c r="J10" s="84" t="str">
        <x:f>IF(COUNT('📥 DADOS BRUTOS'!AF10:AI10)&lt;4,"",AVERAGE('📥 DADOS BRUTOS'!AF10:AI10))</x:f>
      </x:c>
      <x:c r="K10" s="84" t="str">
        <x:f>IF(COUNT('📥 DADOS BRUTOS'!AJ10:AL10)&lt;3,"",AVERAGE('📥 DADOS BRUTOS'!AJ10:AL10))</x:f>
      </x:c>
      <x:c r="L10" s="84" t="str">
        <x:f>IF(COUNT('📥 DADOS BRUTOS'!AM10:AO10)&lt;3,"",AVERAGE('📥 DADOS BRUTOS'!AM10:AO10))</x:f>
      </x:c>
      <x:c r="M10" s="98" t="str">
        <x:f t="shared" si="0">IF(COUNT(E10:L10)&lt;8,"",AVERAGE(E10:L10))</x:f>
      </x:c>
    </x:row>
    <x:row r="11" ht="18" customHeight="1">
      <x:c r="B11" s="26" t="str">
        <x:f>IF(COUNTA('📥 DADOS BRUTOS'!B11)=0,"",'📥 DADOS BRUTOS'!B11)</x:f>
      </x:c>
      <x:c r="C11" s="26" t="str">
        <x:f>IF(COUNTA('📥 DADOS BRUTOS'!C11)=0,"",'📥 DADOS BRUTOS'!C11)</x:f>
      </x:c>
      <x:c r="D11" s="26" t="str">
        <x:f>IF(COUNTA('📥 DADOS BRUTOS'!D11)=0,"",'📥 DADOS BRUTOS'!D11)</x:f>
      </x:c>
      <x:c r="E11" s="36" t="str">
        <x:f>IF(COUNT('📥 DADOS BRUTOS'!E11:H11)&lt;4,"",AVERAGE('📥 DADOS BRUTOS'!E11:H11))</x:f>
      </x:c>
      <x:c r="F11" s="36" t="str">
        <x:f>IF(COUNT('📥 DADOS BRUTOS'!I11:N11)&lt;6,"",AVERAGE(5-'📥 DADOS BRUTOS'!I11,5-'📥 DADOS BRUTOS'!J11,5-'📥 DADOS BRUTOS'!K11,5-'📥 DADOS BRUTOS'!L11,5-'📥 DADOS BRUTOS'!M11,5-'📥 DADOS BRUTOS'!N11))</x:f>
      </x:c>
      <x:c r="G11" s="36" t="str">
        <x:f>IF(COUNT('📥 DADOS BRUTOS'!O11:S11)&lt;5,"",AVERAGE(5-'📥 DADOS BRUTOS'!O11,5-'📥 DADOS BRUTOS'!P11,'📥 DADOS BRUTOS'!Q11,'📥 DADOS BRUTOS'!R11,5-'📥 DADOS BRUTOS'!S11))</x:f>
      </x:c>
      <x:c r="H11" s="36" t="str">
        <x:f>IF(COUNT('📥 DADOS BRUTOS'!T11:Z11)&lt;7,"",AVERAGE('📥 DADOS BRUTOS'!T11:Z11))</x:f>
      </x:c>
      <x:c r="I11" s="36" t="str">
        <x:f>IF(COUNT('📥 DADOS BRUTOS'!AA11:AE11)&lt;5,"",AVERAGE('📥 DADOS BRUTOS'!AA11:AE11))</x:f>
      </x:c>
      <x:c r="J11" s="36" t="str">
        <x:f>IF(COUNT('📥 DADOS BRUTOS'!AF11:AI11)&lt;4,"",AVERAGE('📥 DADOS BRUTOS'!AF11:AI11))</x:f>
      </x:c>
      <x:c r="K11" s="36" t="str">
        <x:f>IF(COUNT('📥 DADOS BRUTOS'!AJ11:AL11)&lt;3,"",AVERAGE('📥 DADOS BRUTOS'!AJ11:AL11))</x:f>
      </x:c>
      <x:c r="L11" s="36" t="str">
        <x:f>IF(COUNT('📥 DADOS BRUTOS'!AM11:AO11)&lt;3,"",AVERAGE('📥 DADOS BRUTOS'!AM11:AO11))</x:f>
      </x:c>
      <x:c r="M11" s="97" t="str">
        <x:f t="shared" si="0">IF(COUNT(E11:L11)&lt;8,"",AVERAGE(E11:L11))</x:f>
      </x:c>
    </x:row>
    <x:row r="12" ht="18" customHeight="1">
      <x:c r="B12" s="30" t="str">
        <x:f>IF(COUNTA('📥 DADOS BRUTOS'!B12)=0,"",'📥 DADOS BRUTOS'!B12)</x:f>
      </x:c>
      <x:c r="C12" s="30" t="str">
        <x:f>IF(COUNTA('📥 DADOS BRUTOS'!C12)=0,"",'📥 DADOS BRUTOS'!C12)</x:f>
      </x:c>
      <x:c r="D12" s="30" t="str">
        <x:f>IF(COUNTA('📥 DADOS BRUTOS'!D12)=0,"",'📥 DADOS BRUTOS'!D12)</x:f>
      </x:c>
      <x:c r="E12" s="84" t="str">
        <x:f>IF(COUNT('📥 DADOS BRUTOS'!E12:H12)&lt;4,"",AVERAGE('📥 DADOS BRUTOS'!E12:H12))</x:f>
      </x:c>
      <x:c r="F12" s="84" t="str">
        <x:f>IF(COUNT('📥 DADOS BRUTOS'!I12:N12)&lt;6,"",AVERAGE(5-'📥 DADOS BRUTOS'!I12,5-'📥 DADOS BRUTOS'!J12,5-'📥 DADOS BRUTOS'!K12,5-'📥 DADOS BRUTOS'!L12,5-'📥 DADOS BRUTOS'!M12,5-'📥 DADOS BRUTOS'!N12))</x:f>
      </x:c>
      <x:c r="G12" s="84" t="str">
        <x:f>IF(COUNT('📥 DADOS BRUTOS'!O12:S12)&lt;5,"",AVERAGE(5-'📥 DADOS BRUTOS'!O12,5-'📥 DADOS BRUTOS'!P12,'📥 DADOS BRUTOS'!Q12,'📥 DADOS BRUTOS'!R12,5-'📥 DADOS BRUTOS'!S12))</x:f>
      </x:c>
      <x:c r="H12" s="84" t="str">
        <x:f>IF(COUNT('📥 DADOS BRUTOS'!T12:Z12)&lt;7,"",AVERAGE('📥 DADOS BRUTOS'!T12:Z12))</x:f>
      </x:c>
      <x:c r="I12" s="84" t="str">
        <x:f>IF(COUNT('📥 DADOS BRUTOS'!AA12:AE12)&lt;5,"",AVERAGE('📥 DADOS BRUTOS'!AA12:AE12))</x:f>
      </x:c>
      <x:c r="J12" s="84" t="str">
        <x:f>IF(COUNT('📥 DADOS BRUTOS'!AF12:AI12)&lt;4,"",AVERAGE('📥 DADOS BRUTOS'!AF12:AI12))</x:f>
      </x:c>
      <x:c r="K12" s="84" t="str">
        <x:f>IF(COUNT('📥 DADOS BRUTOS'!AJ12:AL12)&lt;3,"",AVERAGE('📥 DADOS BRUTOS'!AJ12:AL12))</x:f>
      </x:c>
      <x:c r="L12" s="84" t="str">
        <x:f>IF(COUNT('📥 DADOS BRUTOS'!AM12:AO12)&lt;3,"",AVERAGE('📥 DADOS BRUTOS'!AM12:AO12))</x:f>
      </x:c>
      <x:c r="M12" s="98" t="str">
        <x:f t="shared" si="0">IF(COUNT(E12:L12)&lt;8,"",AVERAGE(E12:L12))</x:f>
      </x:c>
    </x:row>
    <x:row r="13" ht="18" customHeight="1">
      <x:c r="B13" s="26" t="str">
        <x:f>IF(COUNTA('📥 DADOS BRUTOS'!B13)=0,"",'📥 DADOS BRUTOS'!B13)</x:f>
      </x:c>
      <x:c r="C13" s="26" t="str">
        <x:f>IF(COUNTA('📥 DADOS BRUTOS'!C13)=0,"",'📥 DADOS BRUTOS'!C13)</x:f>
      </x:c>
      <x:c r="D13" s="26" t="str">
        <x:f>IF(COUNTA('📥 DADOS BRUTOS'!D13)=0,"",'📥 DADOS BRUTOS'!D13)</x:f>
      </x:c>
      <x:c r="E13" s="36" t="str">
        <x:f>IF(COUNT('📥 DADOS BRUTOS'!E13:H13)&lt;4,"",AVERAGE('📥 DADOS BRUTOS'!E13:H13))</x:f>
      </x:c>
      <x:c r="F13" s="36" t="str">
        <x:f>IF(COUNT('📥 DADOS BRUTOS'!I13:N13)&lt;6,"",AVERAGE(5-'📥 DADOS BRUTOS'!I13,5-'📥 DADOS BRUTOS'!J13,5-'📥 DADOS BRUTOS'!K13,5-'📥 DADOS BRUTOS'!L13,5-'📥 DADOS BRUTOS'!M13,5-'📥 DADOS BRUTOS'!N13))</x:f>
      </x:c>
      <x:c r="G13" s="36" t="str">
        <x:f>IF(COUNT('📥 DADOS BRUTOS'!O13:S13)&lt;5,"",AVERAGE(5-'📥 DADOS BRUTOS'!O13,5-'📥 DADOS BRUTOS'!P13,'📥 DADOS BRUTOS'!Q13,'📥 DADOS BRUTOS'!R13,5-'📥 DADOS BRUTOS'!S13))</x:f>
      </x:c>
      <x:c r="H13" s="36" t="str">
        <x:f>IF(COUNT('📥 DADOS BRUTOS'!T13:Z13)&lt;7,"",AVERAGE('📥 DADOS BRUTOS'!T13:Z13))</x:f>
      </x:c>
      <x:c r="I13" s="36" t="str">
        <x:f>IF(COUNT('📥 DADOS BRUTOS'!AA13:AE13)&lt;5,"",AVERAGE('📥 DADOS BRUTOS'!AA13:AE13))</x:f>
      </x:c>
      <x:c r="J13" s="36" t="str">
        <x:f>IF(COUNT('📥 DADOS BRUTOS'!AF13:AI13)&lt;4,"",AVERAGE('📥 DADOS BRUTOS'!AF13:AI13))</x:f>
      </x:c>
      <x:c r="K13" s="36" t="str">
        <x:f>IF(COUNT('📥 DADOS BRUTOS'!AJ13:AL13)&lt;3,"",AVERAGE('📥 DADOS BRUTOS'!AJ13:AL13))</x:f>
      </x:c>
      <x:c r="L13" s="36" t="str">
        <x:f>IF(COUNT('📥 DADOS BRUTOS'!AM13:AO13)&lt;3,"",AVERAGE('📥 DADOS BRUTOS'!AM13:AO13))</x:f>
      </x:c>
      <x:c r="M13" s="97" t="str">
        <x:f t="shared" si="0">IF(COUNT(E13:L13)&lt;8,"",AVERAGE(E13:L13))</x:f>
      </x:c>
    </x:row>
    <x:row r="14" ht="18" customHeight="1">
      <x:c r="B14" s="30" t="str">
        <x:f>IF(COUNTA('📥 DADOS BRUTOS'!B14)=0,"",'📥 DADOS BRUTOS'!B14)</x:f>
      </x:c>
      <x:c r="C14" s="30" t="str">
        <x:f>IF(COUNTA('📥 DADOS BRUTOS'!C14)=0,"",'📥 DADOS BRUTOS'!C14)</x:f>
      </x:c>
      <x:c r="D14" s="30" t="str">
        <x:f>IF(COUNTA('📥 DADOS BRUTOS'!D14)=0,"",'📥 DADOS BRUTOS'!D14)</x:f>
      </x:c>
      <x:c r="E14" s="84" t="str">
        <x:f>IF(COUNT('📥 DADOS BRUTOS'!E14:H14)&lt;4,"",AVERAGE('📥 DADOS BRUTOS'!E14:H14))</x:f>
      </x:c>
      <x:c r="F14" s="84" t="str">
        <x:f>IF(COUNT('📥 DADOS BRUTOS'!I14:N14)&lt;6,"",AVERAGE(5-'📥 DADOS BRUTOS'!I14,5-'📥 DADOS BRUTOS'!J14,5-'📥 DADOS BRUTOS'!K14,5-'📥 DADOS BRUTOS'!L14,5-'📥 DADOS BRUTOS'!M14,5-'📥 DADOS BRUTOS'!N14))</x:f>
      </x:c>
      <x:c r="G14" s="84" t="str">
        <x:f>IF(COUNT('📥 DADOS BRUTOS'!O14:S14)&lt;5,"",AVERAGE(5-'📥 DADOS BRUTOS'!O14,5-'📥 DADOS BRUTOS'!P14,'📥 DADOS BRUTOS'!Q14,'📥 DADOS BRUTOS'!R14,5-'📥 DADOS BRUTOS'!S14))</x:f>
      </x:c>
      <x:c r="H14" s="84" t="str">
        <x:f>IF(COUNT('📥 DADOS BRUTOS'!T14:Z14)&lt;7,"",AVERAGE('📥 DADOS BRUTOS'!T14:Z14))</x:f>
      </x:c>
      <x:c r="I14" s="84" t="str">
        <x:f>IF(COUNT('📥 DADOS BRUTOS'!AA14:AE14)&lt;5,"",AVERAGE('📥 DADOS BRUTOS'!AA14:AE14))</x:f>
      </x:c>
      <x:c r="J14" s="84" t="str">
        <x:f>IF(COUNT('📥 DADOS BRUTOS'!AF14:AI14)&lt;4,"",AVERAGE('📥 DADOS BRUTOS'!AF14:AI14))</x:f>
      </x:c>
      <x:c r="K14" s="84" t="str">
        <x:f>IF(COUNT('📥 DADOS BRUTOS'!AJ14:AL14)&lt;3,"",AVERAGE('📥 DADOS BRUTOS'!AJ14:AL14))</x:f>
      </x:c>
      <x:c r="L14" s="84" t="str">
        <x:f>IF(COUNT('📥 DADOS BRUTOS'!AM14:AO14)&lt;3,"",AVERAGE('📥 DADOS BRUTOS'!AM14:AO14))</x:f>
      </x:c>
      <x:c r="M14" s="98" t="str">
        <x:f t="shared" si="0">IF(COUNT(E14:L14)&lt;8,"",AVERAGE(E14:L14))</x:f>
      </x:c>
    </x:row>
    <x:row r="15" ht="18" customHeight="1">
      <x:c r="B15" s="26" t="str">
        <x:f>IF(COUNTA('📥 DADOS BRUTOS'!B15)=0,"",'📥 DADOS BRUTOS'!B15)</x:f>
      </x:c>
      <x:c r="C15" s="26" t="str">
        <x:f>IF(COUNTA('📥 DADOS BRUTOS'!C15)=0,"",'📥 DADOS BRUTOS'!C15)</x:f>
      </x:c>
      <x:c r="D15" s="26" t="str">
        <x:f>IF(COUNTA('📥 DADOS BRUTOS'!D15)=0,"",'📥 DADOS BRUTOS'!D15)</x:f>
      </x:c>
      <x:c r="E15" s="36" t="str">
        <x:f>IF(COUNT('📥 DADOS BRUTOS'!E15:H15)&lt;4,"",AVERAGE('📥 DADOS BRUTOS'!E15:H15))</x:f>
      </x:c>
      <x:c r="F15" s="36" t="str">
        <x:f>IF(COUNT('📥 DADOS BRUTOS'!I15:N15)&lt;6,"",AVERAGE(5-'📥 DADOS BRUTOS'!I15,5-'📥 DADOS BRUTOS'!J15,5-'📥 DADOS BRUTOS'!K15,5-'📥 DADOS BRUTOS'!L15,5-'📥 DADOS BRUTOS'!M15,5-'📥 DADOS BRUTOS'!N15))</x:f>
      </x:c>
      <x:c r="G15" s="36" t="str">
        <x:f>IF(COUNT('📥 DADOS BRUTOS'!O15:S15)&lt;5,"",AVERAGE(5-'📥 DADOS BRUTOS'!O15,5-'📥 DADOS BRUTOS'!P15,'📥 DADOS BRUTOS'!Q15,'📥 DADOS BRUTOS'!R15,5-'📥 DADOS BRUTOS'!S15))</x:f>
      </x:c>
      <x:c r="H15" s="36" t="str">
        <x:f>IF(COUNT('📥 DADOS BRUTOS'!T15:Z15)&lt;7,"",AVERAGE('📥 DADOS BRUTOS'!T15:Z15))</x:f>
      </x:c>
      <x:c r="I15" s="36" t="str">
        <x:f>IF(COUNT('📥 DADOS BRUTOS'!AA15:AE15)&lt;5,"",AVERAGE('📥 DADOS BRUTOS'!AA15:AE15))</x:f>
      </x:c>
      <x:c r="J15" s="36" t="str">
        <x:f>IF(COUNT('📥 DADOS BRUTOS'!AF15:AI15)&lt;4,"",AVERAGE('📥 DADOS BRUTOS'!AF15:AI15))</x:f>
      </x:c>
      <x:c r="K15" s="36" t="str">
        <x:f>IF(COUNT('📥 DADOS BRUTOS'!AJ15:AL15)&lt;3,"",AVERAGE('📥 DADOS BRUTOS'!AJ15:AL15))</x:f>
      </x:c>
      <x:c r="L15" s="36" t="str">
        <x:f>IF(COUNT('📥 DADOS BRUTOS'!AM15:AO15)&lt;3,"",AVERAGE('📥 DADOS BRUTOS'!AM15:AO15))</x:f>
      </x:c>
      <x:c r="M15" s="97" t="str">
        <x:f t="shared" si="0">IF(COUNT(E15:L15)&lt;8,"",AVERAGE(E15:L15))</x:f>
      </x:c>
    </x:row>
    <x:row r="16" ht="18" customHeight="1">
      <x:c r="B16" s="30" t="str">
        <x:f>IF(COUNTA('📥 DADOS BRUTOS'!B16)=0,"",'📥 DADOS BRUTOS'!B16)</x:f>
      </x:c>
      <x:c r="C16" s="30" t="str">
        <x:f>IF(COUNTA('📥 DADOS BRUTOS'!C16)=0,"",'📥 DADOS BRUTOS'!C16)</x:f>
      </x:c>
      <x:c r="D16" s="30" t="str">
        <x:f>IF(COUNTA('📥 DADOS BRUTOS'!D16)=0,"",'📥 DADOS BRUTOS'!D16)</x:f>
      </x:c>
      <x:c r="E16" s="84" t="str">
        <x:f>IF(COUNT('📥 DADOS BRUTOS'!E16:H16)&lt;4,"",AVERAGE('📥 DADOS BRUTOS'!E16:H16))</x:f>
      </x:c>
      <x:c r="F16" s="84" t="str">
        <x:f>IF(COUNT('📥 DADOS BRUTOS'!I16:N16)&lt;6,"",AVERAGE(5-'📥 DADOS BRUTOS'!I16,5-'📥 DADOS BRUTOS'!J16,5-'📥 DADOS BRUTOS'!K16,5-'📥 DADOS BRUTOS'!L16,5-'📥 DADOS BRUTOS'!M16,5-'📥 DADOS BRUTOS'!N16))</x:f>
      </x:c>
      <x:c r="G16" s="84" t="str">
        <x:f>IF(COUNT('📥 DADOS BRUTOS'!O16:S16)&lt;5,"",AVERAGE(5-'📥 DADOS BRUTOS'!O16,5-'📥 DADOS BRUTOS'!P16,'📥 DADOS BRUTOS'!Q16,'📥 DADOS BRUTOS'!R16,5-'📥 DADOS BRUTOS'!S16))</x:f>
      </x:c>
      <x:c r="H16" s="84" t="str">
        <x:f>IF(COUNT('📥 DADOS BRUTOS'!T16:Z16)&lt;7,"",AVERAGE('📥 DADOS BRUTOS'!T16:Z16))</x:f>
      </x:c>
      <x:c r="I16" s="84" t="str">
        <x:f>IF(COUNT('📥 DADOS BRUTOS'!AA16:AE16)&lt;5,"",AVERAGE('📥 DADOS BRUTOS'!AA16:AE16))</x:f>
      </x:c>
      <x:c r="J16" s="84" t="str">
        <x:f>IF(COUNT('📥 DADOS BRUTOS'!AF16:AI16)&lt;4,"",AVERAGE('📥 DADOS BRUTOS'!AF16:AI16))</x:f>
      </x:c>
      <x:c r="K16" s="84" t="str">
        <x:f>IF(COUNT('📥 DADOS BRUTOS'!AJ16:AL16)&lt;3,"",AVERAGE('📥 DADOS BRUTOS'!AJ16:AL16))</x:f>
      </x:c>
      <x:c r="L16" s="84" t="str">
        <x:f>IF(COUNT('📥 DADOS BRUTOS'!AM16:AO16)&lt;3,"",AVERAGE('📥 DADOS BRUTOS'!AM16:AO16))</x:f>
      </x:c>
      <x:c r="M16" s="98" t="str">
        <x:f t="shared" si="0">IF(COUNT(E16:L16)&lt;8,"",AVERAGE(E16:L16))</x:f>
      </x:c>
    </x:row>
    <x:row r="17" ht="18" customHeight="1">
      <x:c r="B17" s="26" t="str">
        <x:f>IF(COUNTA('📥 DADOS BRUTOS'!B17)=0,"",'📥 DADOS BRUTOS'!B17)</x:f>
      </x:c>
      <x:c r="C17" s="26" t="str">
        <x:f>IF(COUNTA('📥 DADOS BRUTOS'!C17)=0,"",'📥 DADOS BRUTOS'!C17)</x:f>
      </x:c>
      <x:c r="D17" s="26" t="str">
        <x:f>IF(COUNTA('📥 DADOS BRUTOS'!D17)=0,"",'📥 DADOS BRUTOS'!D17)</x:f>
      </x:c>
      <x:c r="E17" s="36" t="str">
        <x:f>IF(COUNT('📥 DADOS BRUTOS'!E17:H17)&lt;4,"",AVERAGE('📥 DADOS BRUTOS'!E17:H17))</x:f>
      </x:c>
      <x:c r="F17" s="36" t="str">
        <x:f>IF(COUNT('📥 DADOS BRUTOS'!I17:N17)&lt;6,"",AVERAGE(5-'📥 DADOS BRUTOS'!I17,5-'📥 DADOS BRUTOS'!J17,5-'📥 DADOS BRUTOS'!K17,5-'📥 DADOS BRUTOS'!L17,5-'📥 DADOS BRUTOS'!M17,5-'📥 DADOS BRUTOS'!N17))</x:f>
      </x:c>
      <x:c r="G17" s="36" t="str">
        <x:f>IF(COUNT('📥 DADOS BRUTOS'!O17:S17)&lt;5,"",AVERAGE(5-'📥 DADOS BRUTOS'!O17,5-'📥 DADOS BRUTOS'!P17,'📥 DADOS BRUTOS'!Q17,'📥 DADOS BRUTOS'!R17,5-'📥 DADOS BRUTOS'!S17))</x:f>
      </x:c>
      <x:c r="H17" s="36" t="str">
        <x:f>IF(COUNT('📥 DADOS BRUTOS'!T17:Z17)&lt;7,"",AVERAGE('📥 DADOS BRUTOS'!T17:Z17))</x:f>
      </x:c>
      <x:c r="I17" s="36" t="str">
        <x:f>IF(COUNT('📥 DADOS BRUTOS'!AA17:AE17)&lt;5,"",AVERAGE('📥 DADOS BRUTOS'!AA17:AE17))</x:f>
      </x:c>
      <x:c r="J17" s="36" t="str">
        <x:f>IF(COUNT('📥 DADOS BRUTOS'!AF17:AI17)&lt;4,"",AVERAGE('📥 DADOS BRUTOS'!AF17:AI17))</x:f>
      </x:c>
      <x:c r="K17" s="36" t="str">
        <x:f>IF(COUNT('📥 DADOS BRUTOS'!AJ17:AL17)&lt;3,"",AVERAGE('📥 DADOS BRUTOS'!AJ17:AL17))</x:f>
      </x:c>
      <x:c r="L17" s="36" t="str">
        <x:f>IF(COUNT('📥 DADOS BRUTOS'!AM17:AO17)&lt;3,"",AVERAGE('📥 DADOS BRUTOS'!AM17:AO17))</x:f>
      </x:c>
      <x:c r="M17" s="97" t="str">
        <x:f t="shared" si="0">IF(COUNT(E17:L17)&lt;8,"",AVERAGE(E17:L17))</x:f>
      </x:c>
    </x:row>
    <x:row r="18" ht="18" customHeight="1">
      <x:c r="B18" s="30" t="str">
        <x:f>IF(COUNTA('📥 DADOS BRUTOS'!B18)=0,"",'📥 DADOS BRUTOS'!B18)</x:f>
      </x:c>
      <x:c r="C18" s="30" t="str">
        <x:f>IF(COUNTA('📥 DADOS BRUTOS'!C18)=0,"",'📥 DADOS BRUTOS'!C18)</x:f>
      </x:c>
      <x:c r="D18" s="30" t="str">
        <x:f>IF(COUNTA('📥 DADOS BRUTOS'!D18)=0,"",'📥 DADOS BRUTOS'!D18)</x:f>
      </x:c>
      <x:c r="E18" s="84" t="str">
        <x:f>IF(COUNT('📥 DADOS BRUTOS'!E18:H18)&lt;4,"",AVERAGE('📥 DADOS BRUTOS'!E18:H18))</x:f>
      </x:c>
      <x:c r="F18" s="84" t="str">
        <x:f>IF(COUNT('📥 DADOS BRUTOS'!I18:N18)&lt;6,"",AVERAGE(5-'📥 DADOS BRUTOS'!I18,5-'📥 DADOS BRUTOS'!J18,5-'📥 DADOS BRUTOS'!K18,5-'📥 DADOS BRUTOS'!L18,5-'📥 DADOS BRUTOS'!M18,5-'📥 DADOS BRUTOS'!N18))</x:f>
      </x:c>
      <x:c r="G18" s="84" t="str">
        <x:f>IF(COUNT('📥 DADOS BRUTOS'!O18:S18)&lt;5,"",AVERAGE(5-'📥 DADOS BRUTOS'!O18,5-'📥 DADOS BRUTOS'!P18,'📥 DADOS BRUTOS'!Q18,'📥 DADOS BRUTOS'!R18,5-'📥 DADOS BRUTOS'!S18))</x:f>
      </x:c>
      <x:c r="H18" s="84" t="str">
        <x:f>IF(COUNT('📥 DADOS BRUTOS'!T18:Z18)&lt;7,"",AVERAGE('📥 DADOS BRUTOS'!T18:Z18))</x:f>
      </x:c>
      <x:c r="I18" s="84" t="str">
        <x:f>IF(COUNT('📥 DADOS BRUTOS'!AA18:AE18)&lt;5,"",AVERAGE('📥 DADOS BRUTOS'!AA18:AE18))</x:f>
      </x:c>
      <x:c r="J18" s="84" t="str">
        <x:f>IF(COUNT('📥 DADOS BRUTOS'!AF18:AI18)&lt;4,"",AVERAGE('📥 DADOS BRUTOS'!AF18:AI18))</x:f>
      </x:c>
      <x:c r="K18" s="84" t="str">
        <x:f>IF(COUNT('📥 DADOS BRUTOS'!AJ18:AL18)&lt;3,"",AVERAGE('📥 DADOS BRUTOS'!AJ18:AL18))</x:f>
      </x:c>
      <x:c r="L18" s="84" t="str">
        <x:f>IF(COUNT('📥 DADOS BRUTOS'!AM18:AO18)&lt;3,"",AVERAGE('📥 DADOS BRUTOS'!AM18:AO18))</x:f>
      </x:c>
      <x:c r="M18" s="98" t="str">
        <x:f t="shared" si="0">IF(COUNT(E18:L18)&lt;8,"",AVERAGE(E18:L18))</x:f>
      </x:c>
    </x:row>
    <x:row r="19" ht="18" customHeight="1">
      <x:c r="B19" s="26" t="str">
        <x:f>IF(COUNTA('📥 DADOS BRUTOS'!B19)=0,"",'📥 DADOS BRUTOS'!B19)</x:f>
      </x:c>
      <x:c r="C19" s="26" t="str">
        <x:f>IF(COUNTA('📥 DADOS BRUTOS'!C19)=0,"",'📥 DADOS BRUTOS'!C19)</x:f>
      </x:c>
      <x:c r="D19" s="26" t="str">
        <x:f>IF(COUNTA('📥 DADOS BRUTOS'!D19)=0,"",'📥 DADOS BRUTOS'!D19)</x:f>
      </x:c>
      <x:c r="E19" s="36" t="str">
        <x:f>IF(COUNT('📥 DADOS BRUTOS'!E19:H19)&lt;4,"",AVERAGE('📥 DADOS BRUTOS'!E19:H19))</x:f>
      </x:c>
      <x:c r="F19" s="36" t="str">
        <x:f>IF(COUNT('📥 DADOS BRUTOS'!I19:N19)&lt;6,"",AVERAGE(5-'📥 DADOS BRUTOS'!I19,5-'📥 DADOS BRUTOS'!J19,5-'📥 DADOS BRUTOS'!K19,5-'📥 DADOS BRUTOS'!L19,5-'📥 DADOS BRUTOS'!M19,5-'📥 DADOS BRUTOS'!N19))</x:f>
      </x:c>
      <x:c r="G19" s="36" t="str">
        <x:f>IF(COUNT('📥 DADOS BRUTOS'!O19:S19)&lt;5,"",AVERAGE(5-'📥 DADOS BRUTOS'!O19,5-'📥 DADOS BRUTOS'!P19,'📥 DADOS BRUTOS'!Q19,'📥 DADOS BRUTOS'!R19,5-'📥 DADOS BRUTOS'!S19))</x:f>
      </x:c>
      <x:c r="H19" s="36" t="str">
        <x:f>IF(COUNT('📥 DADOS BRUTOS'!T19:Z19)&lt;7,"",AVERAGE('📥 DADOS BRUTOS'!T19:Z19))</x:f>
      </x:c>
      <x:c r="I19" s="36" t="str">
        <x:f>IF(COUNT('📥 DADOS BRUTOS'!AA19:AE19)&lt;5,"",AVERAGE('📥 DADOS BRUTOS'!AA19:AE19))</x:f>
      </x:c>
      <x:c r="J19" s="36" t="str">
        <x:f>IF(COUNT('📥 DADOS BRUTOS'!AF19:AI19)&lt;4,"",AVERAGE('📥 DADOS BRUTOS'!AF19:AI19))</x:f>
      </x:c>
      <x:c r="K19" s="36" t="str">
        <x:f>IF(COUNT('📥 DADOS BRUTOS'!AJ19:AL19)&lt;3,"",AVERAGE('📥 DADOS BRUTOS'!AJ19:AL19))</x:f>
      </x:c>
      <x:c r="L19" s="36" t="str">
        <x:f>IF(COUNT('📥 DADOS BRUTOS'!AM19:AO19)&lt;3,"",AVERAGE('📥 DADOS BRUTOS'!AM19:AO19))</x:f>
      </x:c>
      <x:c r="M19" s="97" t="str">
        <x:f t="shared" si="0">IF(COUNT(E19:L19)&lt;8,"",AVERAGE(E19:L19))</x:f>
      </x:c>
    </x:row>
    <x:row r="20" ht="18" customHeight="1">
      <x:c r="B20" s="30" t="str">
        <x:f>IF(COUNTA('📥 DADOS BRUTOS'!B20)=0,"",'📥 DADOS BRUTOS'!B20)</x:f>
      </x:c>
      <x:c r="C20" s="30" t="str">
        <x:f>IF(COUNTA('📥 DADOS BRUTOS'!C20)=0,"",'📥 DADOS BRUTOS'!C20)</x:f>
      </x:c>
      <x:c r="D20" s="30" t="str">
        <x:f>IF(COUNTA('📥 DADOS BRUTOS'!D20)=0,"",'📥 DADOS BRUTOS'!D20)</x:f>
      </x:c>
      <x:c r="E20" s="84" t="str">
        <x:f>IF(COUNT('📥 DADOS BRUTOS'!E20:H20)&lt;4,"",AVERAGE('📥 DADOS BRUTOS'!E20:H20))</x:f>
      </x:c>
      <x:c r="F20" s="84" t="str">
        <x:f>IF(COUNT('📥 DADOS BRUTOS'!I20:N20)&lt;6,"",AVERAGE(5-'📥 DADOS BRUTOS'!I20,5-'📥 DADOS BRUTOS'!J20,5-'📥 DADOS BRUTOS'!K20,5-'📥 DADOS BRUTOS'!L20,5-'📥 DADOS BRUTOS'!M20,5-'📥 DADOS BRUTOS'!N20))</x:f>
      </x:c>
      <x:c r="G20" s="84" t="str">
        <x:f>IF(COUNT('📥 DADOS BRUTOS'!O20:S20)&lt;5,"",AVERAGE(5-'📥 DADOS BRUTOS'!O20,5-'📥 DADOS BRUTOS'!P20,'📥 DADOS BRUTOS'!Q20,'📥 DADOS BRUTOS'!R20,5-'📥 DADOS BRUTOS'!S20))</x:f>
      </x:c>
      <x:c r="H20" s="84" t="str">
        <x:f>IF(COUNT('📥 DADOS BRUTOS'!T20:Z20)&lt;7,"",AVERAGE('📥 DADOS BRUTOS'!T20:Z20))</x:f>
      </x:c>
      <x:c r="I20" s="84" t="str">
        <x:f>IF(COUNT('📥 DADOS BRUTOS'!AA20:AE20)&lt;5,"",AVERAGE('📥 DADOS BRUTOS'!AA20:AE20))</x:f>
      </x:c>
      <x:c r="J20" s="84" t="str">
        <x:f>IF(COUNT('📥 DADOS BRUTOS'!AF20:AI20)&lt;4,"",AVERAGE('📥 DADOS BRUTOS'!AF20:AI20))</x:f>
      </x:c>
      <x:c r="K20" s="84" t="str">
        <x:f>IF(COUNT('📥 DADOS BRUTOS'!AJ20:AL20)&lt;3,"",AVERAGE('📥 DADOS BRUTOS'!AJ20:AL20))</x:f>
      </x:c>
      <x:c r="L20" s="84" t="str">
        <x:f>IF(COUNT('📥 DADOS BRUTOS'!AM20:AO20)&lt;3,"",AVERAGE('📥 DADOS BRUTOS'!AM20:AO20))</x:f>
      </x:c>
      <x:c r="M20" s="98" t="str">
        <x:f t="shared" si="0">IF(COUNT(E20:L20)&lt;8,"",AVERAGE(E20:L20))</x:f>
      </x:c>
    </x:row>
    <x:row r="21" ht="18" customHeight="1">
      <x:c r="B21" s="26" t="str">
        <x:f>IF(COUNTA('📥 DADOS BRUTOS'!B21)=0,"",'📥 DADOS BRUTOS'!B21)</x:f>
      </x:c>
      <x:c r="C21" s="26" t="str">
        <x:f>IF(COUNTA('📥 DADOS BRUTOS'!C21)=0,"",'📥 DADOS BRUTOS'!C21)</x:f>
      </x:c>
      <x:c r="D21" s="26" t="str">
        <x:f>IF(COUNTA('📥 DADOS BRUTOS'!D21)=0,"",'📥 DADOS BRUTOS'!D21)</x:f>
      </x:c>
      <x:c r="E21" s="36" t="str">
        <x:f>IF(COUNT('📥 DADOS BRUTOS'!E21:H21)&lt;4,"",AVERAGE('📥 DADOS BRUTOS'!E21:H21))</x:f>
      </x:c>
      <x:c r="F21" s="36" t="str">
        <x:f>IF(COUNT('📥 DADOS BRUTOS'!I21:N21)&lt;6,"",AVERAGE(5-'📥 DADOS BRUTOS'!I21,5-'📥 DADOS BRUTOS'!J21,5-'📥 DADOS BRUTOS'!K21,5-'📥 DADOS BRUTOS'!L21,5-'📥 DADOS BRUTOS'!M21,5-'📥 DADOS BRUTOS'!N21))</x:f>
      </x:c>
      <x:c r="G21" s="36" t="str">
        <x:f>IF(COUNT('📥 DADOS BRUTOS'!O21:S21)&lt;5,"",AVERAGE(5-'📥 DADOS BRUTOS'!O21,5-'📥 DADOS BRUTOS'!P21,'📥 DADOS BRUTOS'!Q21,'📥 DADOS BRUTOS'!R21,5-'📥 DADOS BRUTOS'!S21))</x:f>
      </x:c>
      <x:c r="H21" s="36" t="str">
        <x:f>IF(COUNT('📥 DADOS BRUTOS'!T21:Z21)&lt;7,"",AVERAGE('📥 DADOS BRUTOS'!T21:Z21))</x:f>
      </x:c>
      <x:c r="I21" s="36" t="str">
        <x:f>IF(COUNT('📥 DADOS BRUTOS'!AA21:AE21)&lt;5,"",AVERAGE('📥 DADOS BRUTOS'!AA21:AE21))</x:f>
      </x:c>
      <x:c r="J21" s="36" t="str">
        <x:f>IF(COUNT('📥 DADOS BRUTOS'!AF21:AI21)&lt;4,"",AVERAGE('📥 DADOS BRUTOS'!AF21:AI21))</x:f>
      </x:c>
      <x:c r="K21" s="36" t="str">
        <x:f>IF(COUNT('📥 DADOS BRUTOS'!AJ21:AL21)&lt;3,"",AVERAGE('📥 DADOS BRUTOS'!AJ21:AL21))</x:f>
      </x:c>
      <x:c r="L21" s="36" t="str">
        <x:f>IF(COUNT('📥 DADOS BRUTOS'!AM21:AO21)&lt;3,"",AVERAGE('📥 DADOS BRUTOS'!AM21:AO21))</x:f>
      </x:c>
      <x:c r="M21" s="97" t="str">
        <x:f t="shared" si="0">IF(COUNT(E21:L21)&lt;8,"",AVERAGE(E21:L21))</x:f>
      </x:c>
    </x:row>
    <x:row r="22" ht="18" customHeight="1">
      <x:c r="B22" s="30" t="str">
        <x:f>IF(COUNTA('📥 DADOS BRUTOS'!B22)=0,"",'📥 DADOS BRUTOS'!B22)</x:f>
      </x:c>
      <x:c r="C22" s="30" t="str">
        <x:f>IF(COUNTA('📥 DADOS BRUTOS'!C22)=0,"",'📥 DADOS BRUTOS'!C22)</x:f>
      </x:c>
      <x:c r="D22" s="30" t="str">
        <x:f>IF(COUNTA('📥 DADOS BRUTOS'!D22)=0,"",'📥 DADOS BRUTOS'!D22)</x:f>
      </x:c>
      <x:c r="E22" s="84" t="str">
        <x:f>IF(COUNT('📥 DADOS BRUTOS'!E22:H22)&lt;4,"",AVERAGE('📥 DADOS BRUTOS'!E22:H22))</x:f>
      </x:c>
      <x:c r="F22" s="84" t="str">
        <x:f>IF(COUNT('📥 DADOS BRUTOS'!I22:N22)&lt;6,"",AVERAGE(5-'📥 DADOS BRUTOS'!I22,5-'📥 DADOS BRUTOS'!J22,5-'📥 DADOS BRUTOS'!K22,5-'📥 DADOS BRUTOS'!L22,5-'📥 DADOS BRUTOS'!M22,5-'📥 DADOS BRUTOS'!N22))</x:f>
      </x:c>
      <x:c r="G22" s="84" t="str">
        <x:f>IF(COUNT('📥 DADOS BRUTOS'!O22:S22)&lt;5,"",AVERAGE(5-'📥 DADOS BRUTOS'!O22,5-'📥 DADOS BRUTOS'!P22,'📥 DADOS BRUTOS'!Q22,'📥 DADOS BRUTOS'!R22,5-'📥 DADOS BRUTOS'!S22))</x:f>
      </x:c>
      <x:c r="H22" s="84" t="str">
        <x:f>IF(COUNT('📥 DADOS BRUTOS'!T22:Z22)&lt;7,"",AVERAGE('📥 DADOS BRUTOS'!T22:Z22))</x:f>
      </x:c>
      <x:c r="I22" s="84" t="str">
        <x:f>IF(COUNT('📥 DADOS BRUTOS'!AA22:AE22)&lt;5,"",AVERAGE('📥 DADOS BRUTOS'!AA22:AE22))</x:f>
      </x:c>
      <x:c r="J22" s="84" t="str">
        <x:f>IF(COUNT('📥 DADOS BRUTOS'!AF22:AI22)&lt;4,"",AVERAGE('📥 DADOS BRUTOS'!AF22:AI22))</x:f>
      </x:c>
      <x:c r="K22" s="84" t="str">
        <x:f>IF(COUNT('📥 DADOS BRUTOS'!AJ22:AL22)&lt;3,"",AVERAGE('📥 DADOS BRUTOS'!AJ22:AL22))</x:f>
      </x:c>
      <x:c r="L22" s="84" t="str">
        <x:f>IF(COUNT('📥 DADOS BRUTOS'!AM22:AO22)&lt;3,"",AVERAGE('📥 DADOS BRUTOS'!AM22:AO22))</x:f>
      </x:c>
      <x:c r="M22" s="98" t="str">
        <x:f t="shared" si="0">IF(COUNT(E22:L22)&lt;8,"",AVERAGE(E22:L22))</x:f>
      </x:c>
    </x:row>
    <x:row r="23" ht="18" customHeight="1">
      <x:c r="B23" s="26" t="str">
        <x:f>IF(COUNTA('📥 DADOS BRUTOS'!B23)=0,"",'📥 DADOS BRUTOS'!B23)</x:f>
      </x:c>
      <x:c r="C23" s="26" t="str">
        <x:f>IF(COUNTA('📥 DADOS BRUTOS'!C23)=0,"",'📥 DADOS BRUTOS'!C23)</x:f>
      </x:c>
      <x:c r="D23" s="26" t="str">
        <x:f>IF(COUNTA('📥 DADOS BRUTOS'!D23)=0,"",'📥 DADOS BRUTOS'!D23)</x:f>
      </x:c>
      <x:c r="E23" s="36" t="str">
        <x:f>IF(COUNT('📥 DADOS BRUTOS'!E23:H23)&lt;4,"",AVERAGE('📥 DADOS BRUTOS'!E23:H23))</x:f>
      </x:c>
      <x:c r="F23" s="36" t="str">
        <x:f>IF(COUNT('📥 DADOS BRUTOS'!I23:N23)&lt;6,"",AVERAGE(5-'📥 DADOS BRUTOS'!I23,5-'📥 DADOS BRUTOS'!J23,5-'📥 DADOS BRUTOS'!K23,5-'📥 DADOS BRUTOS'!L23,5-'📥 DADOS BRUTOS'!M23,5-'📥 DADOS BRUTOS'!N23))</x:f>
      </x:c>
      <x:c r="G23" s="36" t="str">
        <x:f>IF(COUNT('📥 DADOS BRUTOS'!O23:S23)&lt;5,"",AVERAGE(5-'📥 DADOS BRUTOS'!O23,5-'📥 DADOS BRUTOS'!P23,'📥 DADOS BRUTOS'!Q23,'📥 DADOS BRUTOS'!R23,5-'📥 DADOS BRUTOS'!S23))</x:f>
      </x:c>
      <x:c r="H23" s="36" t="str">
        <x:f>IF(COUNT('📥 DADOS BRUTOS'!T23:Z23)&lt;7,"",AVERAGE('📥 DADOS BRUTOS'!T23:Z23))</x:f>
      </x:c>
      <x:c r="I23" s="36" t="str">
        <x:f>IF(COUNT('📥 DADOS BRUTOS'!AA23:AE23)&lt;5,"",AVERAGE('📥 DADOS BRUTOS'!AA23:AE23))</x:f>
      </x:c>
      <x:c r="J23" s="36" t="str">
        <x:f>IF(COUNT('📥 DADOS BRUTOS'!AF23:AI23)&lt;4,"",AVERAGE('📥 DADOS BRUTOS'!AF23:AI23))</x:f>
      </x:c>
      <x:c r="K23" s="36" t="str">
        <x:f>IF(COUNT('📥 DADOS BRUTOS'!AJ23:AL23)&lt;3,"",AVERAGE('📥 DADOS BRUTOS'!AJ23:AL23))</x:f>
      </x:c>
      <x:c r="L23" s="36" t="str">
        <x:f>IF(COUNT('📥 DADOS BRUTOS'!AM23:AO23)&lt;3,"",AVERAGE('📥 DADOS BRUTOS'!AM23:AO23))</x:f>
      </x:c>
      <x:c r="M23" s="97" t="str">
        <x:f t="shared" si="0">IF(COUNT(E23:L23)&lt;8,"",AVERAGE(E23:L23))</x:f>
      </x:c>
    </x:row>
    <x:row r="24" ht="18" customHeight="1">
      <x:c r="B24" s="30" t="str">
        <x:f>IF(COUNTA('📥 DADOS BRUTOS'!B24)=0,"",'📥 DADOS BRUTOS'!B24)</x:f>
      </x:c>
      <x:c r="C24" s="30" t="str">
        <x:f>IF(COUNTA('📥 DADOS BRUTOS'!C24)=0,"",'📥 DADOS BRUTOS'!C24)</x:f>
      </x:c>
      <x:c r="D24" s="30" t="str">
        <x:f>IF(COUNTA('📥 DADOS BRUTOS'!D24)=0,"",'📥 DADOS BRUTOS'!D24)</x:f>
      </x:c>
      <x:c r="E24" s="84" t="str">
        <x:f>IF(COUNT('📥 DADOS BRUTOS'!E24:H24)&lt;4,"",AVERAGE('📥 DADOS BRUTOS'!E24:H24))</x:f>
      </x:c>
      <x:c r="F24" s="84" t="str">
        <x:f>IF(COUNT('📥 DADOS BRUTOS'!I24:N24)&lt;6,"",AVERAGE(5-'📥 DADOS BRUTOS'!I24,5-'📥 DADOS BRUTOS'!J24,5-'📥 DADOS BRUTOS'!K24,5-'📥 DADOS BRUTOS'!L24,5-'📥 DADOS BRUTOS'!M24,5-'📥 DADOS BRUTOS'!N24))</x:f>
      </x:c>
      <x:c r="G24" s="84" t="str">
        <x:f>IF(COUNT('📥 DADOS BRUTOS'!O24:S24)&lt;5,"",AVERAGE(5-'📥 DADOS BRUTOS'!O24,5-'📥 DADOS BRUTOS'!P24,'📥 DADOS BRUTOS'!Q24,'📥 DADOS BRUTOS'!R24,5-'📥 DADOS BRUTOS'!S24))</x:f>
      </x:c>
      <x:c r="H24" s="84" t="str">
        <x:f>IF(COUNT('📥 DADOS BRUTOS'!T24:Z24)&lt;7,"",AVERAGE('📥 DADOS BRUTOS'!T24:Z24))</x:f>
      </x:c>
      <x:c r="I24" s="84" t="str">
        <x:f>IF(COUNT('📥 DADOS BRUTOS'!AA24:AE24)&lt;5,"",AVERAGE('📥 DADOS BRUTOS'!AA24:AE24))</x:f>
      </x:c>
      <x:c r="J24" s="84" t="str">
        <x:f>IF(COUNT('📥 DADOS BRUTOS'!AF24:AI24)&lt;4,"",AVERAGE('📥 DADOS BRUTOS'!AF24:AI24))</x:f>
      </x:c>
      <x:c r="K24" s="84" t="str">
        <x:f>IF(COUNT('📥 DADOS BRUTOS'!AJ24:AL24)&lt;3,"",AVERAGE('📥 DADOS BRUTOS'!AJ24:AL24))</x:f>
      </x:c>
      <x:c r="L24" s="84" t="str">
        <x:f>IF(COUNT('📥 DADOS BRUTOS'!AM24:AO24)&lt;3,"",AVERAGE('📥 DADOS BRUTOS'!AM24:AO24))</x:f>
      </x:c>
      <x:c r="M24" s="98" t="str">
        <x:f t="shared" si="0">IF(COUNT(E24:L24)&lt;8,"",AVERAGE(E24:L24))</x:f>
      </x:c>
    </x:row>
    <x:row r="25" ht="18" customHeight="1">
      <x:c r="B25" s="26" t="str">
        <x:f>IF(COUNTA('📥 DADOS BRUTOS'!B25)=0,"",'📥 DADOS BRUTOS'!B25)</x:f>
      </x:c>
      <x:c r="C25" s="26" t="str">
        <x:f>IF(COUNTA('📥 DADOS BRUTOS'!C25)=0,"",'📥 DADOS BRUTOS'!C25)</x:f>
      </x:c>
      <x:c r="D25" s="26" t="str">
        <x:f>IF(COUNTA('📥 DADOS BRUTOS'!D25)=0,"",'📥 DADOS BRUTOS'!D25)</x:f>
      </x:c>
      <x:c r="E25" s="36" t="str">
        <x:f>IF(COUNT('📥 DADOS BRUTOS'!E25:H25)&lt;4,"",AVERAGE('📥 DADOS BRUTOS'!E25:H25))</x:f>
      </x:c>
      <x:c r="F25" s="36" t="str">
        <x:f>IF(COUNT('📥 DADOS BRUTOS'!I25:N25)&lt;6,"",AVERAGE(5-'📥 DADOS BRUTOS'!I25,5-'📥 DADOS BRUTOS'!J25,5-'📥 DADOS BRUTOS'!K25,5-'📥 DADOS BRUTOS'!L25,5-'📥 DADOS BRUTOS'!M25,5-'📥 DADOS BRUTOS'!N25))</x:f>
      </x:c>
      <x:c r="G25" s="36" t="str">
        <x:f>IF(COUNT('📥 DADOS BRUTOS'!O25:S25)&lt;5,"",AVERAGE(5-'📥 DADOS BRUTOS'!O25,5-'📥 DADOS BRUTOS'!P25,'📥 DADOS BRUTOS'!Q25,'📥 DADOS BRUTOS'!R25,5-'📥 DADOS BRUTOS'!S25))</x:f>
      </x:c>
      <x:c r="H25" s="36" t="str">
        <x:f>IF(COUNT('📥 DADOS BRUTOS'!T25:Z25)&lt;7,"",AVERAGE('📥 DADOS BRUTOS'!T25:Z25))</x:f>
      </x:c>
      <x:c r="I25" s="36" t="str">
        <x:f>IF(COUNT('📥 DADOS BRUTOS'!AA25:AE25)&lt;5,"",AVERAGE('📥 DADOS BRUTOS'!AA25:AE25))</x:f>
      </x:c>
      <x:c r="J25" s="36" t="str">
        <x:f>IF(COUNT('📥 DADOS BRUTOS'!AF25:AI25)&lt;4,"",AVERAGE('📥 DADOS BRUTOS'!AF25:AI25))</x:f>
      </x:c>
      <x:c r="K25" s="36" t="str">
        <x:f>IF(COUNT('📥 DADOS BRUTOS'!AJ25:AL25)&lt;3,"",AVERAGE('📥 DADOS BRUTOS'!AJ25:AL25))</x:f>
      </x:c>
      <x:c r="L25" s="36" t="str">
        <x:f>IF(COUNT('📥 DADOS BRUTOS'!AM25:AO25)&lt;3,"",AVERAGE('📥 DADOS BRUTOS'!AM25:AO25))</x:f>
      </x:c>
      <x:c r="M25" s="97" t="str">
        <x:f t="shared" si="0">IF(COUNT(E25:L25)&lt;8,"",AVERAGE(E25:L25))</x:f>
      </x:c>
    </x:row>
    <x:row r="26" ht="18" customHeight="1">
      <x:c r="B26" s="30" t="str">
        <x:f>IF(COUNTA('📥 DADOS BRUTOS'!B26)=0,"",'📥 DADOS BRUTOS'!B26)</x:f>
      </x:c>
      <x:c r="C26" s="30" t="str">
        <x:f>IF(COUNTA('📥 DADOS BRUTOS'!C26)=0,"",'📥 DADOS BRUTOS'!C26)</x:f>
      </x:c>
      <x:c r="D26" s="30" t="str">
        <x:f>IF(COUNTA('📥 DADOS BRUTOS'!D26)=0,"",'📥 DADOS BRUTOS'!D26)</x:f>
      </x:c>
      <x:c r="E26" s="84" t="str">
        <x:f>IF(COUNT('📥 DADOS BRUTOS'!E26:H26)&lt;4,"",AVERAGE('📥 DADOS BRUTOS'!E26:H26))</x:f>
      </x:c>
      <x:c r="F26" s="84" t="str">
        <x:f>IF(COUNT('📥 DADOS BRUTOS'!I26:N26)&lt;6,"",AVERAGE(5-'📥 DADOS BRUTOS'!I26,5-'📥 DADOS BRUTOS'!J26,5-'📥 DADOS BRUTOS'!K26,5-'📥 DADOS BRUTOS'!L26,5-'📥 DADOS BRUTOS'!M26,5-'📥 DADOS BRUTOS'!N26))</x:f>
      </x:c>
      <x:c r="G26" s="84" t="str">
        <x:f>IF(COUNT('📥 DADOS BRUTOS'!O26:S26)&lt;5,"",AVERAGE(5-'📥 DADOS BRUTOS'!O26,5-'📥 DADOS BRUTOS'!P26,'📥 DADOS BRUTOS'!Q26,'📥 DADOS BRUTOS'!R26,5-'📥 DADOS BRUTOS'!S26))</x:f>
      </x:c>
      <x:c r="H26" s="84" t="str">
        <x:f>IF(COUNT('📥 DADOS BRUTOS'!T26:Z26)&lt;7,"",AVERAGE('📥 DADOS BRUTOS'!T26:Z26))</x:f>
      </x:c>
      <x:c r="I26" s="84" t="str">
        <x:f>IF(COUNT('📥 DADOS BRUTOS'!AA26:AE26)&lt;5,"",AVERAGE('📥 DADOS BRUTOS'!AA26:AE26))</x:f>
      </x:c>
      <x:c r="J26" s="84" t="str">
        <x:f>IF(COUNT('📥 DADOS BRUTOS'!AF26:AI26)&lt;4,"",AVERAGE('📥 DADOS BRUTOS'!AF26:AI26))</x:f>
      </x:c>
      <x:c r="K26" s="84" t="str">
        <x:f>IF(COUNT('📥 DADOS BRUTOS'!AJ26:AL26)&lt;3,"",AVERAGE('📥 DADOS BRUTOS'!AJ26:AL26))</x:f>
      </x:c>
      <x:c r="L26" s="84" t="str">
        <x:f>IF(COUNT('📥 DADOS BRUTOS'!AM26:AO26)&lt;3,"",AVERAGE('📥 DADOS BRUTOS'!AM26:AO26))</x:f>
      </x:c>
      <x:c r="M26" s="98" t="str">
        <x:f t="shared" si="0">IF(COUNT(E26:L26)&lt;8,"",AVERAGE(E26:L26))</x:f>
      </x:c>
    </x:row>
    <x:row r="27" ht="18" customHeight="1">
      <x:c r="B27" s="26" t="str">
        <x:f>IF(COUNTA('📥 DADOS BRUTOS'!B27)=0,"",'📥 DADOS BRUTOS'!B27)</x:f>
      </x:c>
      <x:c r="C27" s="26" t="str">
        <x:f>IF(COUNTA('📥 DADOS BRUTOS'!C27)=0,"",'📥 DADOS BRUTOS'!C27)</x:f>
      </x:c>
      <x:c r="D27" s="26" t="str">
        <x:f>IF(COUNTA('📥 DADOS BRUTOS'!D27)=0,"",'📥 DADOS BRUTOS'!D27)</x:f>
      </x:c>
      <x:c r="E27" s="36" t="str">
        <x:f>IF(COUNT('📥 DADOS BRUTOS'!E27:H27)&lt;4,"",AVERAGE('📥 DADOS BRUTOS'!E27:H27))</x:f>
      </x:c>
      <x:c r="F27" s="36" t="str">
        <x:f>IF(COUNT('📥 DADOS BRUTOS'!I27:N27)&lt;6,"",AVERAGE(5-'📥 DADOS BRUTOS'!I27,5-'📥 DADOS BRUTOS'!J27,5-'📥 DADOS BRUTOS'!K27,5-'📥 DADOS BRUTOS'!L27,5-'📥 DADOS BRUTOS'!M27,5-'📥 DADOS BRUTOS'!N27))</x:f>
      </x:c>
      <x:c r="G27" s="36" t="str">
        <x:f>IF(COUNT('📥 DADOS BRUTOS'!O27:S27)&lt;5,"",AVERAGE(5-'📥 DADOS BRUTOS'!O27,5-'📥 DADOS BRUTOS'!P27,'📥 DADOS BRUTOS'!Q27,'📥 DADOS BRUTOS'!R27,5-'📥 DADOS BRUTOS'!S27))</x:f>
      </x:c>
      <x:c r="H27" s="36" t="str">
        <x:f>IF(COUNT('📥 DADOS BRUTOS'!T27:Z27)&lt;7,"",AVERAGE('📥 DADOS BRUTOS'!T27:Z27))</x:f>
      </x:c>
      <x:c r="I27" s="36" t="str">
        <x:f>IF(COUNT('📥 DADOS BRUTOS'!AA27:AE27)&lt;5,"",AVERAGE('📥 DADOS BRUTOS'!AA27:AE27))</x:f>
      </x:c>
      <x:c r="J27" s="36" t="str">
        <x:f>IF(COUNT('📥 DADOS BRUTOS'!AF27:AI27)&lt;4,"",AVERAGE('📥 DADOS BRUTOS'!AF27:AI27))</x:f>
      </x:c>
      <x:c r="K27" s="36" t="str">
        <x:f>IF(COUNT('📥 DADOS BRUTOS'!AJ27:AL27)&lt;3,"",AVERAGE('📥 DADOS BRUTOS'!AJ27:AL27))</x:f>
      </x:c>
      <x:c r="L27" s="36" t="str">
        <x:f>IF(COUNT('📥 DADOS BRUTOS'!AM27:AO27)&lt;3,"",AVERAGE('📥 DADOS BRUTOS'!AM27:AO27))</x:f>
      </x:c>
      <x:c r="M27" s="97" t="str">
        <x:f t="shared" si="0">IF(COUNT(E27:L27)&lt;8,"",AVERAGE(E27:L27))</x:f>
      </x:c>
    </x:row>
    <x:row r="28" ht="18" customHeight="1">
      <x:c r="B28" s="30" t="str">
        <x:f>IF(COUNTA('📥 DADOS BRUTOS'!B28)=0,"",'📥 DADOS BRUTOS'!B28)</x:f>
      </x:c>
      <x:c r="C28" s="30" t="str">
        <x:f>IF(COUNTA('📥 DADOS BRUTOS'!C28)=0,"",'📥 DADOS BRUTOS'!C28)</x:f>
      </x:c>
      <x:c r="D28" s="30" t="str">
        <x:f>IF(COUNTA('📥 DADOS BRUTOS'!D28)=0,"",'📥 DADOS BRUTOS'!D28)</x:f>
      </x:c>
      <x:c r="E28" s="84" t="str">
        <x:f>IF(COUNT('📥 DADOS BRUTOS'!E28:H28)&lt;4,"",AVERAGE('📥 DADOS BRUTOS'!E28:H28))</x:f>
      </x:c>
      <x:c r="F28" s="84" t="str">
        <x:f>IF(COUNT('📥 DADOS BRUTOS'!I28:N28)&lt;6,"",AVERAGE(5-'📥 DADOS BRUTOS'!I28,5-'📥 DADOS BRUTOS'!J28,5-'📥 DADOS BRUTOS'!K28,5-'📥 DADOS BRUTOS'!L28,5-'📥 DADOS BRUTOS'!M28,5-'📥 DADOS BRUTOS'!N28))</x:f>
      </x:c>
      <x:c r="G28" s="84" t="str">
        <x:f>IF(COUNT('📥 DADOS BRUTOS'!O28:S28)&lt;5,"",AVERAGE(5-'📥 DADOS BRUTOS'!O28,5-'📥 DADOS BRUTOS'!P28,'📥 DADOS BRUTOS'!Q28,'📥 DADOS BRUTOS'!R28,5-'📥 DADOS BRUTOS'!S28))</x:f>
      </x:c>
      <x:c r="H28" s="84" t="str">
        <x:f>IF(COUNT('📥 DADOS BRUTOS'!T28:Z28)&lt;7,"",AVERAGE('📥 DADOS BRUTOS'!T28:Z28))</x:f>
      </x:c>
      <x:c r="I28" s="84" t="str">
        <x:f>IF(COUNT('📥 DADOS BRUTOS'!AA28:AE28)&lt;5,"",AVERAGE('📥 DADOS BRUTOS'!AA28:AE28))</x:f>
      </x:c>
      <x:c r="J28" s="84" t="str">
        <x:f>IF(COUNT('📥 DADOS BRUTOS'!AF28:AI28)&lt;4,"",AVERAGE('📥 DADOS BRUTOS'!AF28:AI28))</x:f>
      </x:c>
      <x:c r="K28" s="84" t="str">
        <x:f>IF(COUNT('📥 DADOS BRUTOS'!AJ28:AL28)&lt;3,"",AVERAGE('📥 DADOS BRUTOS'!AJ28:AL28))</x:f>
      </x:c>
      <x:c r="L28" s="84" t="str">
        <x:f>IF(COUNT('📥 DADOS BRUTOS'!AM28:AO28)&lt;3,"",AVERAGE('📥 DADOS BRUTOS'!AM28:AO28))</x:f>
      </x:c>
      <x:c r="M28" s="98" t="str">
        <x:f t="shared" si="0">IF(COUNT(E28:L28)&lt;8,"",AVERAGE(E28:L28))</x:f>
      </x:c>
    </x:row>
    <x:row r="29" ht="18" customHeight="1">
      <x:c r="B29" s="26" t="str">
        <x:f>IF(COUNTA('📥 DADOS BRUTOS'!B29)=0,"",'📥 DADOS BRUTOS'!B29)</x:f>
      </x:c>
      <x:c r="C29" s="26" t="str">
        <x:f>IF(COUNTA('📥 DADOS BRUTOS'!C29)=0,"",'📥 DADOS BRUTOS'!C29)</x:f>
      </x:c>
      <x:c r="D29" s="26" t="str">
        <x:f>IF(COUNTA('📥 DADOS BRUTOS'!D29)=0,"",'📥 DADOS BRUTOS'!D29)</x:f>
      </x:c>
      <x:c r="E29" s="36" t="str">
        <x:f>IF(COUNT('📥 DADOS BRUTOS'!E29:H29)&lt;4,"",AVERAGE('📥 DADOS BRUTOS'!E29:H29))</x:f>
      </x:c>
      <x:c r="F29" s="36" t="str">
        <x:f>IF(COUNT('📥 DADOS BRUTOS'!I29:N29)&lt;6,"",AVERAGE(5-'📥 DADOS BRUTOS'!I29,5-'📥 DADOS BRUTOS'!J29,5-'📥 DADOS BRUTOS'!K29,5-'📥 DADOS BRUTOS'!L29,5-'📥 DADOS BRUTOS'!M29,5-'📥 DADOS BRUTOS'!N29))</x:f>
      </x:c>
      <x:c r="G29" s="36" t="str">
        <x:f>IF(COUNT('📥 DADOS BRUTOS'!O29:S29)&lt;5,"",AVERAGE(5-'📥 DADOS BRUTOS'!O29,5-'📥 DADOS BRUTOS'!P29,'📥 DADOS BRUTOS'!Q29,'📥 DADOS BRUTOS'!R29,5-'📥 DADOS BRUTOS'!S29))</x:f>
      </x:c>
      <x:c r="H29" s="36" t="str">
        <x:f>IF(COUNT('📥 DADOS BRUTOS'!T29:Z29)&lt;7,"",AVERAGE('📥 DADOS BRUTOS'!T29:Z29))</x:f>
      </x:c>
      <x:c r="I29" s="36" t="str">
        <x:f>IF(COUNT('📥 DADOS BRUTOS'!AA29:AE29)&lt;5,"",AVERAGE('📥 DADOS BRUTOS'!AA29:AE29))</x:f>
      </x:c>
      <x:c r="J29" s="36" t="str">
        <x:f>IF(COUNT('📥 DADOS BRUTOS'!AF29:AI29)&lt;4,"",AVERAGE('📥 DADOS BRUTOS'!AF29:AI29))</x:f>
      </x:c>
      <x:c r="K29" s="36" t="str">
        <x:f>IF(COUNT('📥 DADOS BRUTOS'!AJ29:AL29)&lt;3,"",AVERAGE('📥 DADOS BRUTOS'!AJ29:AL29))</x:f>
      </x:c>
      <x:c r="L29" s="36" t="str">
        <x:f>IF(COUNT('📥 DADOS BRUTOS'!AM29:AO29)&lt;3,"",AVERAGE('📥 DADOS BRUTOS'!AM29:AO29))</x:f>
      </x:c>
      <x:c r="M29" s="97" t="str">
        <x:f t="shared" si="0">IF(COUNT(E29:L29)&lt;8,"",AVERAGE(E29:L29))</x:f>
      </x:c>
    </x:row>
    <x:row r="30" ht="18" customHeight="1">
      <x:c r="B30" s="30" t="str">
        <x:f>IF(COUNTA('📥 DADOS BRUTOS'!B30)=0,"",'📥 DADOS BRUTOS'!B30)</x:f>
      </x:c>
      <x:c r="C30" s="30" t="str">
        <x:f>IF(COUNTA('📥 DADOS BRUTOS'!C30)=0,"",'📥 DADOS BRUTOS'!C30)</x:f>
      </x:c>
      <x:c r="D30" s="30" t="str">
        <x:f>IF(COUNTA('📥 DADOS BRUTOS'!D30)=0,"",'📥 DADOS BRUTOS'!D30)</x:f>
      </x:c>
      <x:c r="E30" s="84" t="str">
        <x:f>IF(COUNT('📥 DADOS BRUTOS'!E30:H30)&lt;4,"",AVERAGE('📥 DADOS BRUTOS'!E30:H30))</x:f>
      </x:c>
      <x:c r="F30" s="84" t="str">
        <x:f>IF(COUNT('📥 DADOS BRUTOS'!I30:N30)&lt;6,"",AVERAGE(5-'📥 DADOS BRUTOS'!I30,5-'📥 DADOS BRUTOS'!J30,5-'📥 DADOS BRUTOS'!K30,5-'📥 DADOS BRUTOS'!L30,5-'📥 DADOS BRUTOS'!M30,5-'📥 DADOS BRUTOS'!N30))</x:f>
      </x:c>
      <x:c r="G30" s="84" t="str">
        <x:f>IF(COUNT('📥 DADOS BRUTOS'!O30:S30)&lt;5,"",AVERAGE(5-'📥 DADOS BRUTOS'!O30,5-'📥 DADOS BRUTOS'!P30,'📥 DADOS BRUTOS'!Q30,'📥 DADOS BRUTOS'!R30,5-'📥 DADOS BRUTOS'!S30))</x:f>
      </x:c>
      <x:c r="H30" s="84" t="str">
        <x:f>IF(COUNT('📥 DADOS BRUTOS'!T30:Z30)&lt;7,"",AVERAGE('📥 DADOS BRUTOS'!T30:Z30))</x:f>
      </x:c>
      <x:c r="I30" s="84" t="str">
        <x:f>IF(COUNT('📥 DADOS BRUTOS'!AA30:AE30)&lt;5,"",AVERAGE('📥 DADOS BRUTOS'!AA30:AE30))</x:f>
      </x:c>
      <x:c r="J30" s="84" t="str">
        <x:f>IF(COUNT('📥 DADOS BRUTOS'!AF30:AI30)&lt;4,"",AVERAGE('📥 DADOS BRUTOS'!AF30:AI30))</x:f>
      </x:c>
      <x:c r="K30" s="84" t="str">
        <x:f>IF(COUNT('📥 DADOS BRUTOS'!AJ30:AL30)&lt;3,"",AVERAGE('📥 DADOS BRUTOS'!AJ30:AL30))</x:f>
      </x:c>
      <x:c r="L30" s="84" t="str">
        <x:f>IF(COUNT('📥 DADOS BRUTOS'!AM30:AO30)&lt;3,"",AVERAGE('📥 DADOS BRUTOS'!AM30:AO30))</x:f>
      </x:c>
      <x:c r="M30" s="98" t="str">
        <x:f t="shared" si="0">IF(COUNT(E30:L30)&lt;8,"",AVERAGE(E30:L30))</x:f>
      </x:c>
    </x:row>
    <x:row r="31" ht="18" customHeight="1">
      <x:c r="B31" s="26" t="str">
        <x:f>IF(COUNTA('📥 DADOS BRUTOS'!B31)=0,"",'📥 DADOS BRUTOS'!B31)</x:f>
      </x:c>
      <x:c r="C31" s="26" t="str">
        <x:f>IF(COUNTA('📥 DADOS BRUTOS'!C31)=0,"",'📥 DADOS BRUTOS'!C31)</x:f>
      </x:c>
      <x:c r="D31" s="26" t="str">
        <x:f>IF(COUNTA('📥 DADOS BRUTOS'!D31)=0,"",'📥 DADOS BRUTOS'!D31)</x:f>
      </x:c>
      <x:c r="E31" s="36" t="str">
        <x:f>IF(COUNT('📥 DADOS BRUTOS'!E31:H31)&lt;4,"",AVERAGE('📥 DADOS BRUTOS'!E31:H31))</x:f>
      </x:c>
      <x:c r="F31" s="36" t="str">
        <x:f>IF(COUNT('📥 DADOS BRUTOS'!I31:N31)&lt;6,"",AVERAGE(5-'📥 DADOS BRUTOS'!I31,5-'📥 DADOS BRUTOS'!J31,5-'📥 DADOS BRUTOS'!K31,5-'📥 DADOS BRUTOS'!L31,5-'📥 DADOS BRUTOS'!M31,5-'📥 DADOS BRUTOS'!N31))</x:f>
      </x:c>
      <x:c r="G31" s="36" t="str">
        <x:f>IF(COUNT('📥 DADOS BRUTOS'!O31:S31)&lt;5,"",AVERAGE(5-'📥 DADOS BRUTOS'!O31,5-'📥 DADOS BRUTOS'!P31,'📥 DADOS BRUTOS'!Q31,'📥 DADOS BRUTOS'!R31,5-'📥 DADOS BRUTOS'!S31))</x:f>
      </x:c>
      <x:c r="H31" s="36" t="str">
        <x:f>IF(COUNT('📥 DADOS BRUTOS'!T31:Z31)&lt;7,"",AVERAGE('📥 DADOS BRUTOS'!T31:Z31))</x:f>
      </x:c>
      <x:c r="I31" s="36" t="str">
        <x:f>IF(COUNT('📥 DADOS BRUTOS'!AA31:AE31)&lt;5,"",AVERAGE('📥 DADOS BRUTOS'!AA31:AE31))</x:f>
      </x:c>
      <x:c r="J31" s="36" t="str">
        <x:f>IF(COUNT('📥 DADOS BRUTOS'!AF31:AI31)&lt;4,"",AVERAGE('📥 DADOS BRUTOS'!AF31:AI31))</x:f>
      </x:c>
      <x:c r="K31" s="36" t="str">
        <x:f>IF(COUNT('📥 DADOS BRUTOS'!AJ31:AL31)&lt;3,"",AVERAGE('📥 DADOS BRUTOS'!AJ31:AL31))</x:f>
      </x:c>
      <x:c r="L31" s="36" t="str">
        <x:f>IF(COUNT('📥 DADOS BRUTOS'!AM31:AO31)&lt;3,"",AVERAGE('📥 DADOS BRUTOS'!AM31:AO31))</x:f>
      </x:c>
      <x:c r="M31" s="97" t="str">
        <x:f t="shared" si="0">IF(COUNT(E31:L31)&lt;8,"",AVERAGE(E31:L31))</x:f>
      </x:c>
    </x:row>
    <x:row r="32" ht="18" customHeight="1">
      <x:c r="B32" s="30" t="str">
        <x:f>IF(COUNTA('📥 DADOS BRUTOS'!B32)=0,"",'📥 DADOS BRUTOS'!B32)</x:f>
      </x:c>
      <x:c r="C32" s="30" t="str">
        <x:f>IF(COUNTA('📥 DADOS BRUTOS'!C32)=0,"",'📥 DADOS BRUTOS'!C32)</x:f>
      </x:c>
      <x:c r="D32" s="30" t="str">
        <x:f>IF(COUNTA('📥 DADOS BRUTOS'!D32)=0,"",'📥 DADOS BRUTOS'!D32)</x:f>
      </x:c>
      <x:c r="E32" s="84" t="str">
        <x:f>IF(COUNT('📥 DADOS BRUTOS'!E32:H32)&lt;4,"",AVERAGE('📥 DADOS BRUTOS'!E32:H32))</x:f>
      </x:c>
      <x:c r="F32" s="84" t="str">
        <x:f>IF(COUNT('📥 DADOS BRUTOS'!I32:N32)&lt;6,"",AVERAGE(5-'📥 DADOS BRUTOS'!I32,5-'📥 DADOS BRUTOS'!J32,5-'📥 DADOS BRUTOS'!K32,5-'📥 DADOS BRUTOS'!L32,5-'📥 DADOS BRUTOS'!M32,5-'📥 DADOS BRUTOS'!N32))</x:f>
      </x:c>
      <x:c r="G32" s="84" t="str">
        <x:f>IF(COUNT('📥 DADOS BRUTOS'!O32:S32)&lt;5,"",AVERAGE(5-'📥 DADOS BRUTOS'!O32,5-'📥 DADOS BRUTOS'!P32,'📥 DADOS BRUTOS'!Q32,'📥 DADOS BRUTOS'!R32,5-'📥 DADOS BRUTOS'!S32))</x:f>
      </x:c>
      <x:c r="H32" s="84" t="str">
        <x:f>IF(COUNT('📥 DADOS BRUTOS'!T32:Z32)&lt;7,"",AVERAGE('📥 DADOS BRUTOS'!T32:Z32))</x:f>
      </x:c>
      <x:c r="I32" s="84" t="str">
        <x:f>IF(COUNT('📥 DADOS BRUTOS'!AA32:AE32)&lt;5,"",AVERAGE('📥 DADOS BRUTOS'!AA32:AE32))</x:f>
      </x:c>
      <x:c r="J32" s="84" t="str">
        <x:f>IF(COUNT('📥 DADOS BRUTOS'!AF32:AI32)&lt;4,"",AVERAGE('📥 DADOS BRUTOS'!AF32:AI32))</x:f>
      </x:c>
      <x:c r="K32" s="84" t="str">
        <x:f>IF(COUNT('📥 DADOS BRUTOS'!AJ32:AL32)&lt;3,"",AVERAGE('📥 DADOS BRUTOS'!AJ32:AL32))</x:f>
      </x:c>
      <x:c r="L32" s="84" t="str">
        <x:f>IF(COUNT('📥 DADOS BRUTOS'!AM32:AO32)&lt;3,"",AVERAGE('📥 DADOS BRUTOS'!AM32:AO32))</x:f>
      </x:c>
      <x:c r="M32" s="98" t="str">
        <x:f t="shared" si="0">IF(COUNT(E32:L32)&lt;8,"",AVERAGE(E32:L32))</x:f>
      </x:c>
    </x:row>
    <x:row r="34" ht="21.75" customHeight="1">
      <x:c r="B34" s="151" t="s">
        <x:v>45</x:v>
      </x:c>
      <x:c r="C34" s="145"/>
      <x:c r="D34" s="145"/>
      <x:c r="E34" s="145"/>
      <x:c r="F34" s="145"/>
      <x:c r="G34" s="145"/>
      <x:c r="H34" s="145"/>
      <x:c r="I34" s="145"/>
      <x:c r="J34" s="145"/>
      <x:c r="K34" s="145"/>
      <x:c r="L34" s="145"/>
      <x:c r="M34" s="150"/>
    </x:row>
    <x:row r="35" ht="15" customHeight="1">
      <x:c r="B35" s="34" t="s">
        <x:v>215</x:v>
      </x:c>
      <x:c r="C35" s="18" t="s">
        <x:v>47</x:v>
      </x:c>
      <x:c r="D35" s="18" t="s">
        <x:v>48</x:v>
      </x:c>
      <x:c r="E35" s="18" t="s">
        <x:v>49</x:v>
      </x:c>
      <x:c r="F35" s="18" t="s">
        <x:v>50</x:v>
      </x:c>
    </x:row>
    <x:row r="36" ht="15" customHeight="1">
      <x:c r="B36" s="5" t="s">
        <x:v>207</x:v>
      </x:c>
      <x:c r="C36" s="36" t="str">
        <x:f>IFERROR(AVERAGEIF(C3:C32,"S1",E3:E32),"")</x:f>
      </x:c>
      <x:c r="D36" s="36" t="str">
        <x:f>IFERROR(AVERAGEIF(C3:C32,"S4",E3:E32),"")</x:f>
      </x:c>
      <x:c r="E36" s="36" t="str">
        <x:f>IFERROR(AVERAGEIF(C3:C32,"S8",E3:E32),"")</x:f>
      </x:c>
      <x:c r="F36" s="40" t="n">
        <x:f t="shared" ref="F36:F44" si="1">IFERROR(E36-C36,"")</x:f>
        <x:v>0</x:v>
      </x:c>
    </x:row>
    <x:row r="37" ht="15" customHeight="1">
      <x:c r="B37" s="5" t="s">
        <x:v>208</x:v>
      </x:c>
      <x:c r="C37" s="36" t="str">
        <x:f>IFERROR(AVERAGEIF(C3:C32,"S1",F3:F32),"")</x:f>
      </x:c>
      <x:c r="D37" s="36" t="str">
        <x:f>IFERROR(AVERAGEIF(C3:C32,"S4",F3:F32),"")</x:f>
      </x:c>
      <x:c r="E37" s="36" t="str">
        <x:f>IFERROR(AVERAGEIF(C3:C32,"S8",F3:F32),"")</x:f>
      </x:c>
      <x:c r="F37" s="40" t="str">
        <x:f t="shared" si="1"/>
      </x:c>
    </x:row>
    <x:row r="38" ht="15" customHeight="1">
      <x:c r="B38" s="5" t="s">
        <x:v>209</x:v>
      </x:c>
      <x:c r="C38" s="36" t="str">
        <x:f>IFERROR(AVERAGEIF(C3:C32,"S1",G3:G32),"")</x:f>
      </x:c>
      <x:c r="D38" s="36" t="str">
        <x:f>IFERROR(AVERAGEIF(C3:C32,"S4",G3:G32),"")</x:f>
      </x:c>
      <x:c r="E38" s="36" t="str">
        <x:f>IFERROR(AVERAGEIF(C3:C32,"S8",G3:G32),"")</x:f>
      </x:c>
      <x:c r="F38" s="40" t="str">
        <x:f t="shared" si="1"/>
      </x:c>
    </x:row>
    <x:row r="39" ht="15" customHeight="1">
      <x:c r="B39" s="5" t="s">
        <x:v>210</x:v>
      </x:c>
      <x:c r="C39" s="36" t="str">
        <x:f>IFERROR(AVERAGEIF(C3:C32,"S1",H3:H32),"")</x:f>
      </x:c>
      <x:c r="D39" s="36" t="str">
        <x:f>IFERROR(AVERAGEIF(C3:C32,"S4",H3:H32),"")</x:f>
      </x:c>
      <x:c r="E39" s="36" t="str">
        <x:f>IFERROR(AVERAGEIF(C3:C32,"S8",H3:H32),"")</x:f>
      </x:c>
      <x:c r="F39" s="40" t="str">
        <x:f t="shared" si="1"/>
      </x:c>
    </x:row>
    <x:row r="40" ht="15" customHeight="1">
      <x:c r="B40" s="5" t="s">
        <x:v>211</x:v>
      </x:c>
      <x:c r="C40" s="36" t="str">
        <x:f>IFERROR(AVERAGEIF(C3:C32,"S1",I3:I32),"")</x:f>
      </x:c>
      <x:c r="D40" s="36" t="str">
        <x:f>IFERROR(AVERAGEIF(C3:C32,"S4",I3:I32),"")</x:f>
      </x:c>
      <x:c r="E40" s="36" t="str">
        <x:f>IFERROR(AVERAGEIF(C3:C32,"S8",I3:I32),"")</x:f>
      </x:c>
      <x:c r="F40" s="40" t="str">
        <x:f t="shared" si="1"/>
      </x:c>
    </x:row>
    <x:row r="41" ht="15" customHeight="1">
      <x:c r="B41" s="5" t="s">
        <x:v>212</x:v>
      </x:c>
      <x:c r="C41" s="36" t="str">
        <x:f>IFERROR(AVERAGEIF(C3:C32,"S1",J3:J32),"")</x:f>
      </x:c>
      <x:c r="D41" s="36" t="str">
        <x:f>IFERROR(AVERAGEIF(C3:C32,"S4",J3:J32),"")</x:f>
      </x:c>
      <x:c r="E41" s="36" t="str">
        <x:f>IFERROR(AVERAGEIF(C3:C32,"S8",J3:J32),"")</x:f>
      </x:c>
      <x:c r="F41" s="40" t="str">
        <x:f t="shared" si="1"/>
      </x:c>
    </x:row>
    <x:row r="42" ht="15" customHeight="1">
      <x:c r="B42" s="5" t="s">
        <x:v>213</x:v>
      </x:c>
      <x:c r="C42" s="36" t="str">
        <x:f>IFERROR(AVERAGEIF(C3:C32,"S1",K3:K32),"")</x:f>
      </x:c>
      <x:c r="D42" s="36" t="str">
        <x:f>IFERROR(AVERAGEIF(C3:C32,"S4",K3:K32),"")</x:f>
      </x:c>
      <x:c r="E42" s="36" t="str">
        <x:f>IFERROR(AVERAGEIF(C3:C32,"S8",K3:K32),"")</x:f>
      </x:c>
      <x:c r="F42" s="40" t="str">
        <x:f t="shared" si="1"/>
      </x:c>
    </x:row>
    <x:row r="43" ht="15" customHeight="1">
      <x:c r="B43" s="5" t="s">
        <x:v>214</x:v>
      </x:c>
      <x:c r="C43" s="36" t="str">
        <x:f>IFERROR(AVERAGEIF(C3:C32,"S1",L3:L32),"")</x:f>
      </x:c>
      <x:c r="D43" s="36" t="str">
        <x:f>IFERROR(AVERAGEIF(C3:C32,"S4",L3:L32),"")</x:f>
      </x:c>
      <x:c r="E43" s="36" t="str">
        <x:f>IFERROR(AVERAGEIF(C3:C32,"S8",L3:L32),"")</x:f>
      </x:c>
      <x:c r="F43" s="40" t="str">
        <x:f t="shared" si="1"/>
      </x:c>
    </x:row>
    <x:row r="44" ht="15" customHeight="1">
      <x:c r="B44" s="86" t="s">
        <x:v>216</x:v>
      </x:c>
      <x:c r="C44" s="99" t="str">
        <x:f>IFERROR(AVERAGEIF(C3:C32,"S1",M3:M32),"")</x:f>
      </x:c>
      <x:c r="D44" s="99" t="str">
        <x:f>IFERROR(AVERAGEIF(C3:C32,"S4",M3:M32),"")</x:f>
      </x:c>
      <x:c r="E44" s="99" t="str">
        <x:f>IFERROR(AVERAGEIF(C3:C32,"S8",M3:M32),"")</x:f>
      </x:c>
      <x:c r="F44" s="100" t="str">
        <x:f t="shared" si="1"/>
      </x:c>
    </x:row>
  </x:sheetData>
  <x:mergeCells>
    <x:mergeCell ref="B1:D1"/>
    <x:mergeCell ref="B34:M34"/>
    <x:mergeCell ref="E1:L1"/>
  </x:mergeCells>
  <x:conditionalFormatting sqref="E3:E32">
    <x:cfRule type="colorScale" priority="2">
      <x:colorScale>
        <x:cfvo type="num" val="0"/>
        <x:cfvo type="num" val="2.5"/>
        <x:cfvo type="num" val="5"/>
        <x:color rgb="FFFF4444"/>
        <x:color rgb="FFFFDD44"/>
        <x:color rgb="FF44CC44"/>
      </x:colorScale>
    </x:cfRule>
  </x:conditionalFormatting>
  <x:conditionalFormatting sqref="F3:F32">
    <x:cfRule type="colorScale" priority="3">
      <x:colorScale>
        <x:cfvo type="num" val="0"/>
        <x:cfvo type="num" val="2.5"/>
        <x:cfvo type="num" val="5"/>
        <x:color rgb="FFFF4444"/>
        <x:color rgb="FFFFDD44"/>
        <x:color rgb="FF44CC44"/>
      </x:colorScale>
    </x:cfRule>
  </x:conditionalFormatting>
  <x:conditionalFormatting sqref="G3:G32">
    <x:cfRule type="colorScale" priority="4">
      <x:colorScale>
        <x:cfvo type="num" val="0"/>
        <x:cfvo type="num" val="2.5"/>
        <x:cfvo type="num" val="5"/>
        <x:color rgb="FFFF4444"/>
        <x:color rgb="FFFFDD44"/>
        <x:color rgb="FF44CC44"/>
      </x:colorScale>
    </x:cfRule>
  </x:conditionalFormatting>
  <x:conditionalFormatting sqref="H3:H32">
    <x:cfRule type="colorScale" priority="5">
      <x:colorScale>
        <x:cfvo type="num" val="0"/>
        <x:cfvo type="num" val="2.5"/>
        <x:cfvo type="num" val="5"/>
        <x:color rgb="FFFF4444"/>
        <x:color rgb="FFFFDD44"/>
        <x:color rgb="FF44CC44"/>
      </x:colorScale>
    </x:cfRule>
  </x:conditionalFormatting>
  <x:conditionalFormatting sqref="I3:I32">
    <x:cfRule type="colorScale" priority="6">
      <x:colorScale>
        <x:cfvo type="num" val="0"/>
        <x:cfvo type="num" val="2.5"/>
        <x:cfvo type="num" val="5"/>
        <x:color rgb="FFFF4444"/>
        <x:color rgb="FFFFDD44"/>
        <x:color rgb="FF44CC44"/>
      </x:colorScale>
    </x:cfRule>
  </x:conditionalFormatting>
  <x:conditionalFormatting sqref="J3:J32">
    <x:cfRule type="colorScale" priority="7">
      <x:colorScale>
        <x:cfvo type="num" val="0"/>
        <x:cfvo type="num" val="2.5"/>
        <x:cfvo type="num" val="5"/>
        <x:color rgb="FFFF4444"/>
        <x:color rgb="FFFFDD44"/>
        <x:color rgb="FF44CC44"/>
      </x:colorScale>
    </x:cfRule>
  </x:conditionalFormatting>
  <x:conditionalFormatting sqref="K3:K32">
    <x:cfRule type="colorScale" priority="8">
      <x:colorScale>
        <x:cfvo type="num" val="0"/>
        <x:cfvo type="num" val="2.5"/>
        <x:cfvo type="num" val="5"/>
        <x:color rgb="FFFF4444"/>
        <x:color rgb="FFFFDD44"/>
        <x:color rgb="FF44CC44"/>
      </x:colorScale>
    </x:cfRule>
  </x:conditionalFormatting>
  <x:conditionalFormatting sqref="L3:L32">
    <x:cfRule type="colorScale" priority="9">
      <x:colorScale>
        <x:cfvo type="num" val="0"/>
        <x:cfvo type="num" val="2.5"/>
        <x:cfvo type="num" val="5"/>
        <x:color rgb="FFFF4444"/>
        <x:color rgb="FFFFDD44"/>
        <x:color rgb="FF44CC44"/>
      </x:colorScale>
    </x:cfRule>
  </x:conditionalFormatting>
  <x:conditionalFormatting sqref="M3:M32">
    <x:cfRule type="colorScale" priority="10">
      <x:colorScale>
        <x:cfvo type="num" val="0"/>
        <x:cfvo type="num" val="2.5"/>
        <x:cfvo type="num" val="5"/>
        <x:color rgb="FFFF4444"/>
        <x:color rgb="FFFFDD44"/>
        <x:color rgb="FF44CC44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5"/>
  <x:cols>
    <x:col min="1" max="1" width="3" customWidth="1"/>
    <x:col min="2" max="2" width="8" customWidth="1"/>
    <x:col min="3" max="3" width="65" customWidth="1"/>
    <x:col min="4" max="4" width="20" customWidth="1"/>
    <x:col min="5" max="5" width="12" customWidth="1"/>
  </x:cols>
  <x:sheetData>
    <x:row r="1" ht="27.75" customHeight="1">
      <x:c r="B1" s="149" t="s">
        <x:v>217</x:v>
      </x:c>
      <x:c r="C1" s="145"/>
      <x:c r="D1" s="145"/>
      <x:c r="E1" s="150"/>
    </x:row>
    <x:row r="2" ht="15" customHeight="1">
      <x:c r="B2" s="18" t="s">
        <x:v>218</x:v>
      </x:c>
      <x:c r="C2" s="18" t="s">
        <x:v>219</x:v>
      </x:c>
      <x:c r="D2" s="18" t="s">
        <x:v>72</x:v>
      </x:c>
      <x:c r="E2" s="18" t="s">
        <x:v>220</x:v>
      </x:c>
      <x:c r="F2" s="18" t="s">
        <x:v>221</x:v>
      </x:c>
    </x:row>
    <x:row r="3" ht="15.75" customHeight="1">
      <x:c r="B3" s="101" t="s">
        <x:v>222</x:v>
      </x:c>
      <x:c r="C3" s="101" t="s">
        <x:v>223</x:v>
      </x:c>
      <x:c r="D3" s="102" t="s">
        <x:v>224</x:v>
      </x:c>
      <x:c r="E3" s="101" t="s">
        <x:v>225</x:v>
      </x:c>
      <x:c r="F3" s="102"/>
    </x:row>
    <x:row r="4" ht="15.75" customHeight="1">
      <x:c r="B4" s="26"/>
      <x:c r="C4" s="26" t="s">
        <x:v>226</x:v>
      </x:c>
      <x:c r="D4" s="103" t="s">
        <x:v>227</x:v>
      </x:c>
      <x:c r="E4" s="26" t="s">
        <x:v>228</x:v>
      </x:c>
      <x:c r="F4" s="103"/>
    </x:row>
    <x:row r="5" ht="15.75" customHeight="1">
      <x:c r="B5" s="101"/>
      <x:c r="C5" s="101" t="s">
        <x:v>229</x:v>
      </x:c>
      <x:c r="D5" s="102" t="s">
        <x:v>230</x:v>
      </x:c>
      <x:c r="E5" s="101" t="s">
        <x:v>231</x:v>
      </x:c>
      <x:c r="F5" s="102"/>
    </x:row>
    <x:row r="6" ht="15.75" customHeight="1">
      <x:c r="B6" s="26"/>
      <x:c r="C6" s="26"/>
      <x:c r="D6" s="103"/>
      <x:c r="E6" s="26"/>
      <x:c r="F6" s="103"/>
    </x:row>
    <x:row r="7" ht="15.75" customHeight="1">
      <x:c r="B7" s="104" t="s">
        <x:v>232</x:v>
      </x:c>
      <x:c r="C7" s="105"/>
      <x:c r="D7" s="106" t="s">
        <x:v>233</x:v>
      </x:c>
      <x:c r="E7" s="107" t="s">
        <x:v>234</x:v>
      </x:c>
      <x:c r="F7" s="106"/>
    </x:row>
    <x:row r="8" ht="15.75" customHeight="1">
      <x:c r="B8" s="26"/>
      <x:c r="C8" s="26" t="s">
        <x:v>235</x:v>
      </x:c>
      <x:c r="D8" s="103" t="s">
        <x:v>236</x:v>
      </x:c>
      <x:c r="E8" s="26" t="s">
        <x:v>237</x:v>
      </x:c>
      <x:c r="F8" s="103" t="s">
        <x:v>238</x:v>
      </x:c>
    </x:row>
    <x:row r="9" ht="15.75" customHeight="1">
      <x:c r="B9" s="101"/>
      <x:c r="C9" s="101" t="s">
        <x:v>239</x:v>
      </x:c>
      <x:c r="D9" s="102" t="s">
        <x:v>36</x:v>
      </x:c>
      <x:c r="E9" s="101" t="s">
        <x:v>240</x:v>
      </x:c>
      <x:c r="F9" s="102" t="s">
        <x:v>238</x:v>
      </x:c>
    </x:row>
    <x:row r="10" ht="15.75" customHeight="1">
      <x:c r="B10" s="26"/>
      <x:c r="C10" s="26" t="s">
        <x:v>241</x:v>
      </x:c>
      <x:c r="D10" s="103" t="s">
        <x:v>242</x:v>
      </x:c>
      <x:c r="E10" s="26" t="s">
        <x:v>37</x:v>
      </x:c>
      <x:c r="F10" s="103" t="s">
        <x:v>238</x:v>
      </x:c>
    </x:row>
    <x:row r="11" ht="15.75" customHeight="1">
      <x:c r="B11" s="101"/>
      <x:c r="C11" s="101"/>
      <x:c r="D11" s="102"/>
      <x:c r="E11" s="101"/>
      <x:c r="F11" s="102"/>
    </x:row>
    <x:row r="12" ht="15.75" customHeight="1">
      <x:c r="B12" s="104" t="s">
        <x:v>243</x:v>
      </x:c>
      <x:c r="C12" s="105"/>
      <x:c r="D12" s="106" t="s">
        <x:v>244</x:v>
      </x:c>
      <x:c r="E12" s="107" t="s">
        <x:v>234</x:v>
      </x:c>
      <x:c r="F12" s="106"/>
    </x:row>
    <x:row r="13" ht="15.75" customHeight="1">
      <x:c r="B13" s="101"/>
      <x:c r="C13" s="101" t="s">
        <x:v>245</x:v>
      </x:c>
      <x:c r="D13" s="102" t="s">
        <x:v>246</x:v>
      </x:c>
      <x:c r="E13" s="101" t="s">
        <x:v>231</x:v>
      </x:c>
      <x:c r="F13" s="102"/>
    </x:row>
    <x:row r="14" ht="15.75" customHeight="1">
      <x:c r="B14" s="26"/>
      <x:c r="C14" s="26" t="s">
        <x:v>247</x:v>
      </x:c>
      <x:c r="D14" s="103" t="s">
        <x:v>248</x:v>
      </x:c>
      <x:c r="E14" s="26" t="s">
        <x:v>249</x:v>
      </x:c>
      <x:c r="F14" s="103" t="s">
        <x:v>207</x:v>
      </x:c>
    </x:row>
    <x:row r="15" ht="15.75" customHeight="1">
      <x:c r="B15" s="101"/>
      <x:c r="C15" s="101" t="s">
        <x:v>250</x:v>
      </x:c>
      <x:c r="D15" s="102" t="s">
        <x:v>251</x:v>
      </x:c>
      <x:c r="E15" s="101" t="s">
        <x:v>249</x:v>
      </x:c>
      <x:c r="F15" s="102" t="s">
        <x:v>207</x:v>
      </x:c>
    </x:row>
    <x:row r="16" ht="15.75" customHeight="1">
      <x:c r="B16" s="26"/>
      <x:c r="C16" s="26" t="s">
        <x:v>252</x:v>
      </x:c>
      <x:c r="D16" s="103" t="s">
        <x:v>253</x:v>
      </x:c>
      <x:c r="E16" s="26" t="s">
        <x:v>249</x:v>
      </x:c>
      <x:c r="F16" s="103" t="s">
        <x:v>207</x:v>
      </x:c>
    </x:row>
    <x:row r="17" ht="15.75" customHeight="1">
      <x:c r="B17" s="101"/>
      <x:c r="C17" s="101" t="s">
        <x:v>254</x:v>
      </x:c>
      <x:c r="D17" s="102" t="s">
        <x:v>255</x:v>
      </x:c>
      <x:c r="E17" s="101" t="s">
        <x:v>249</x:v>
      </x:c>
      <x:c r="F17" s="102" t="s">
        <x:v>207</x:v>
      </x:c>
    </x:row>
    <x:row r="18" ht="15.75" customHeight="1">
      <x:c r="B18" s="26"/>
      <x:c r="C18" s="26" t="s">
        <x:v>256</x:v>
      </x:c>
      <x:c r="D18" s="103" t="s">
        <x:v>257</x:v>
      </x:c>
      <x:c r="E18" s="26" t="s">
        <x:v>249</x:v>
      </x:c>
      <x:c r="F18" s="103" t="s">
        <x:v>208</x:v>
      </x:c>
    </x:row>
    <x:row r="19" ht="15.75" customHeight="1">
      <x:c r="B19" s="101"/>
      <x:c r="C19" s="101" t="s">
        <x:v>258</x:v>
      </x:c>
      <x:c r="D19" s="102" t="s">
        <x:v>259</x:v>
      </x:c>
      <x:c r="E19" s="101" t="s">
        <x:v>249</x:v>
      </x:c>
      <x:c r="F19" s="102" t="s">
        <x:v>208</x:v>
      </x:c>
    </x:row>
    <x:row r="20" ht="15.75" customHeight="1">
      <x:c r="B20" s="26"/>
      <x:c r="C20" s="26" t="s">
        <x:v>260</x:v>
      </x:c>
      <x:c r="D20" s="103" t="s">
        <x:v>261</x:v>
      </x:c>
      <x:c r="E20" s="26" t="s">
        <x:v>249</x:v>
      </x:c>
      <x:c r="F20" s="103" t="s">
        <x:v>208</x:v>
      </x:c>
    </x:row>
    <x:row r="21" ht="15.75" customHeight="1">
      <x:c r="B21" s="101"/>
      <x:c r="C21" s="101" t="s">
        <x:v>262</x:v>
      </x:c>
      <x:c r="D21" s="102" t="s">
        <x:v>263</x:v>
      </x:c>
      <x:c r="E21" s="101" t="s">
        <x:v>249</x:v>
      </x:c>
      <x:c r="F21" s="102" t="s">
        <x:v>208</x:v>
      </x:c>
    </x:row>
    <x:row r="22" ht="15.75" customHeight="1">
      <x:c r="B22" s="26"/>
      <x:c r="C22" s="26" t="s">
        <x:v>264</x:v>
      </x:c>
      <x:c r="D22" s="103" t="s">
        <x:v>265</x:v>
      </x:c>
      <x:c r="E22" s="26" t="s">
        <x:v>249</x:v>
      </x:c>
      <x:c r="F22" s="103" t="s">
        <x:v>208</x:v>
      </x:c>
    </x:row>
    <x:row r="23" ht="15.75" customHeight="1">
      <x:c r="B23" s="101"/>
      <x:c r="C23" s="101" t="s">
        <x:v>266</x:v>
      </x:c>
      <x:c r="D23" s="102" t="s">
        <x:v>267</x:v>
      </x:c>
      <x:c r="E23" s="101" t="s">
        <x:v>249</x:v>
      </x:c>
      <x:c r="F23" s="102" t="s">
        <x:v>208</x:v>
      </x:c>
    </x:row>
    <x:row r="24" ht="15.75" customHeight="1">
      <x:c r="B24" s="26"/>
      <x:c r="C24" s="26" t="s">
        <x:v>268</x:v>
      </x:c>
      <x:c r="D24" s="103" t="s">
        <x:v>269</x:v>
      </x:c>
      <x:c r="E24" s="26" t="s">
        <x:v>249</x:v>
      </x:c>
      <x:c r="F24" s="103" t="s">
        <x:v>209</x:v>
      </x:c>
    </x:row>
    <x:row r="25" ht="15.75" customHeight="1">
      <x:c r="B25" s="101"/>
      <x:c r="C25" s="101" t="s">
        <x:v>270</x:v>
      </x:c>
      <x:c r="D25" s="102" t="s">
        <x:v>271</x:v>
      </x:c>
      <x:c r="E25" s="101" t="s">
        <x:v>249</x:v>
      </x:c>
      <x:c r="F25" s="102" t="s">
        <x:v>209</x:v>
      </x:c>
    </x:row>
    <x:row r="26" ht="15.75" customHeight="1">
      <x:c r="B26" s="26"/>
      <x:c r="C26" s="26" t="s">
        <x:v>272</x:v>
      </x:c>
      <x:c r="D26" s="103" t="s">
        <x:v>273</x:v>
      </x:c>
      <x:c r="E26" s="26" t="s">
        <x:v>249</x:v>
      </x:c>
      <x:c r="F26" s="103" t="s">
        <x:v>209</x:v>
      </x:c>
    </x:row>
    <x:row r="27" ht="15.75" customHeight="1">
      <x:c r="B27" s="101"/>
      <x:c r="C27" s="101" t="s">
        <x:v>274</x:v>
      </x:c>
      <x:c r="D27" s="102" t="s">
        <x:v>275</x:v>
      </x:c>
      <x:c r="E27" s="101" t="s">
        <x:v>249</x:v>
      </x:c>
      <x:c r="F27" s="102" t="s">
        <x:v>209</x:v>
      </x:c>
    </x:row>
    <x:row r="28" ht="15.75" customHeight="1">
      <x:c r="B28" s="26"/>
      <x:c r="C28" s="26" t="s">
        <x:v>276</x:v>
      </x:c>
      <x:c r="D28" s="103" t="s">
        <x:v>277</x:v>
      </x:c>
      <x:c r="E28" s="26" t="s">
        <x:v>249</x:v>
      </x:c>
      <x:c r="F28" s="103" t="s">
        <x:v>209</x:v>
      </x:c>
    </x:row>
    <x:row r="29" ht="15.75" customHeight="1">
      <x:c r="B29" s="101"/>
      <x:c r="C29" s="101" t="s">
        <x:v>278</x:v>
      </x:c>
      <x:c r="D29" s="102" t="s">
        <x:v>279</x:v>
      </x:c>
      <x:c r="E29" s="101" t="s">
        <x:v>249</x:v>
      </x:c>
      <x:c r="F29" s="102" t="s">
        <x:v>210</x:v>
      </x:c>
    </x:row>
    <x:row r="30" ht="15.75" customHeight="1">
      <x:c r="B30" s="26"/>
      <x:c r="C30" s="26" t="s">
        <x:v>280</x:v>
      </x:c>
      <x:c r="D30" s="103" t="s">
        <x:v>281</x:v>
      </x:c>
      <x:c r="E30" s="26" t="s">
        <x:v>249</x:v>
      </x:c>
      <x:c r="F30" s="103" t="s">
        <x:v>210</x:v>
      </x:c>
    </x:row>
    <x:row r="31" ht="15.75" customHeight="1">
      <x:c r="B31" s="101"/>
      <x:c r="C31" s="101" t="s">
        <x:v>282</x:v>
      </x:c>
      <x:c r="D31" s="102" t="s">
        <x:v>283</x:v>
      </x:c>
      <x:c r="E31" s="101" t="s">
        <x:v>249</x:v>
      </x:c>
      <x:c r="F31" s="102" t="s">
        <x:v>210</x:v>
      </x:c>
    </x:row>
    <x:row r="32" ht="15.75" customHeight="1">
      <x:c r="B32" s="26"/>
      <x:c r="C32" s="26" t="s">
        <x:v>284</x:v>
      </x:c>
      <x:c r="D32" s="103" t="s">
        <x:v>285</x:v>
      </x:c>
      <x:c r="E32" s="26" t="s">
        <x:v>249</x:v>
      </x:c>
      <x:c r="F32" s="103" t="s">
        <x:v>210</x:v>
      </x:c>
    </x:row>
    <x:row r="33" ht="15.75" customHeight="1">
      <x:c r="B33" s="101"/>
      <x:c r="C33" s="101" t="s">
        <x:v>286</x:v>
      </x:c>
      <x:c r="D33" s="102" t="s">
        <x:v>287</x:v>
      </x:c>
      <x:c r="E33" s="101" t="s">
        <x:v>249</x:v>
      </x:c>
      <x:c r="F33" s="102" t="s">
        <x:v>210</x:v>
      </x:c>
    </x:row>
    <x:row r="34" ht="15.75" customHeight="1">
      <x:c r="B34" s="26"/>
      <x:c r="C34" s="26" t="s">
        <x:v>288</x:v>
      </x:c>
      <x:c r="D34" s="103" t="s">
        <x:v>289</x:v>
      </x:c>
      <x:c r="E34" s="26" t="s">
        <x:v>249</x:v>
      </x:c>
      <x:c r="F34" s="103" t="s">
        <x:v>210</x:v>
      </x:c>
    </x:row>
    <x:row r="35" ht="15.75" customHeight="1">
      <x:c r="B35" s="101"/>
      <x:c r="C35" s="101" t="s">
        <x:v>290</x:v>
      </x:c>
      <x:c r="D35" s="102" t="s">
        <x:v>291</x:v>
      </x:c>
      <x:c r="E35" s="101" t="s">
        <x:v>249</x:v>
      </x:c>
      <x:c r="F35" s="102" t="s">
        <x:v>210</x:v>
      </x:c>
    </x:row>
    <x:row r="36" ht="15.75" customHeight="1">
      <x:c r="B36" s="26"/>
      <x:c r="C36" s="26" t="s">
        <x:v>292</x:v>
      </x:c>
      <x:c r="D36" s="103" t="s">
        <x:v>293</x:v>
      </x:c>
      <x:c r="E36" s="26" t="s">
        <x:v>249</x:v>
      </x:c>
      <x:c r="F36" s="103" t="s">
        <x:v>211</x:v>
      </x:c>
    </x:row>
    <x:row r="37" ht="15.75" customHeight="1">
      <x:c r="B37" s="101"/>
      <x:c r="C37" s="101" t="s">
        <x:v>294</x:v>
      </x:c>
      <x:c r="D37" s="102" t="s">
        <x:v>295</x:v>
      </x:c>
      <x:c r="E37" s="101" t="s">
        <x:v>249</x:v>
      </x:c>
      <x:c r="F37" s="102" t="s">
        <x:v>211</x:v>
      </x:c>
    </x:row>
    <x:row r="38" ht="15.75" customHeight="1">
      <x:c r="B38" s="26"/>
      <x:c r="C38" s="26" t="s">
        <x:v>296</x:v>
      </x:c>
      <x:c r="D38" s="103" t="s">
        <x:v>297</x:v>
      </x:c>
      <x:c r="E38" s="26" t="s">
        <x:v>249</x:v>
      </x:c>
      <x:c r="F38" s="103" t="s">
        <x:v>211</x:v>
      </x:c>
    </x:row>
    <x:row r="39" ht="15.75" customHeight="1">
      <x:c r="B39" s="101"/>
      <x:c r="C39" s="101" t="s">
        <x:v>298</x:v>
      </x:c>
      <x:c r="D39" s="102" t="s">
        <x:v>299</x:v>
      </x:c>
      <x:c r="E39" s="101" t="s">
        <x:v>249</x:v>
      </x:c>
      <x:c r="F39" s="102" t="s">
        <x:v>211</x:v>
      </x:c>
    </x:row>
    <x:row r="40" ht="15.75" customHeight="1">
      <x:c r="B40" s="26"/>
      <x:c r="C40" s="26" t="s">
        <x:v>300</x:v>
      </x:c>
      <x:c r="D40" s="103" t="s">
        <x:v>301</x:v>
      </x:c>
      <x:c r="E40" s="26" t="s">
        <x:v>249</x:v>
      </x:c>
      <x:c r="F40" s="103" t="s">
        <x:v>211</x:v>
      </x:c>
    </x:row>
    <x:row r="41" ht="15.75" customHeight="1">
      <x:c r="B41" s="101"/>
      <x:c r="C41" s="101" t="s">
        <x:v>302</x:v>
      </x:c>
      <x:c r="D41" s="102" t="s">
        <x:v>303</x:v>
      </x:c>
      <x:c r="E41" s="101" t="s">
        <x:v>249</x:v>
      </x:c>
      <x:c r="F41" s="102" t="s">
        <x:v>212</x:v>
      </x:c>
    </x:row>
    <x:row r="42" ht="15.75" customHeight="1">
      <x:c r="B42" s="26"/>
      <x:c r="C42" s="26" t="s">
        <x:v>304</x:v>
      </x:c>
      <x:c r="D42" s="103" t="s">
        <x:v>305</x:v>
      </x:c>
      <x:c r="E42" s="26" t="s">
        <x:v>249</x:v>
      </x:c>
      <x:c r="F42" s="103" t="s">
        <x:v>212</x:v>
      </x:c>
    </x:row>
    <x:row r="43" ht="15.75" customHeight="1">
      <x:c r="B43" s="101"/>
      <x:c r="C43" s="101" t="s">
        <x:v>306</x:v>
      </x:c>
      <x:c r="D43" s="102" t="s">
        <x:v>307</x:v>
      </x:c>
      <x:c r="E43" s="101" t="s">
        <x:v>249</x:v>
      </x:c>
      <x:c r="F43" s="102" t="s">
        <x:v>212</x:v>
      </x:c>
    </x:row>
    <x:row r="44" ht="15.75" customHeight="1">
      <x:c r="B44" s="26"/>
      <x:c r="C44" s="26" t="s">
        <x:v>308</x:v>
      </x:c>
      <x:c r="D44" s="103" t="s">
        <x:v>309</x:v>
      </x:c>
      <x:c r="E44" s="26" t="s">
        <x:v>249</x:v>
      </x:c>
      <x:c r="F44" s="103" t="s">
        <x:v>212</x:v>
      </x:c>
    </x:row>
    <x:row r="45" ht="15.75" customHeight="1">
      <x:c r="B45" s="101"/>
      <x:c r="C45" s="101" t="s">
        <x:v>310</x:v>
      </x:c>
      <x:c r="D45" s="102" t="s">
        <x:v>311</x:v>
      </x:c>
      <x:c r="E45" s="101" t="s">
        <x:v>249</x:v>
      </x:c>
      <x:c r="F45" s="102" t="s">
        <x:v>213</x:v>
      </x:c>
    </x:row>
    <x:row r="46" ht="15.75" customHeight="1">
      <x:c r="B46" s="26"/>
      <x:c r="C46" s="26" t="s">
        <x:v>312</x:v>
      </x:c>
      <x:c r="D46" s="103" t="s">
        <x:v>313</x:v>
      </x:c>
      <x:c r="E46" s="26" t="s">
        <x:v>249</x:v>
      </x:c>
      <x:c r="F46" s="103" t="s">
        <x:v>213</x:v>
      </x:c>
    </x:row>
    <x:row r="47" ht="15.75" customHeight="1">
      <x:c r="B47" s="101"/>
      <x:c r="C47" s="101" t="s">
        <x:v>314</x:v>
      </x:c>
      <x:c r="D47" s="102" t="s">
        <x:v>315</x:v>
      </x:c>
      <x:c r="E47" s="101" t="s">
        <x:v>249</x:v>
      </x:c>
      <x:c r="F47" s="102" t="s">
        <x:v>213</x:v>
      </x:c>
    </x:row>
    <x:row r="48" ht="15.75" customHeight="1">
      <x:c r="B48" s="26"/>
      <x:c r="C48" s="26" t="s">
        <x:v>316</x:v>
      </x:c>
      <x:c r="D48" s="103" t="s">
        <x:v>317</x:v>
      </x:c>
      <x:c r="E48" s="26" t="s">
        <x:v>249</x:v>
      </x:c>
      <x:c r="F48" s="103" t="s">
        <x:v>214</x:v>
      </x:c>
    </x:row>
    <x:row r="49" ht="15.75" customHeight="1">
      <x:c r="B49" s="101"/>
      <x:c r="C49" s="101" t="s">
        <x:v>318</x:v>
      </x:c>
      <x:c r="D49" s="102" t="s">
        <x:v>319</x:v>
      </x:c>
      <x:c r="E49" s="101" t="s">
        <x:v>249</x:v>
      </x:c>
      <x:c r="F49" s="102" t="s">
        <x:v>214</x:v>
      </x:c>
    </x:row>
    <x:row r="50" ht="15.75" customHeight="1">
      <x:c r="B50" s="26"/>
      <x:c r="C50" s="26" t="s">
        <x:v>320</x:v>
      </x:c>
      <x:c r="D50" s="103" t="s">
        <x:v>321</x:v>
      </x:c>
      <x:c r="E50" s="26" t="s">
        <x:v>249</x:v>
      </x:c>
      <x:c r="F50" s="103" t="s">
        <x:v>214</x:v>
      </x:c>
    </x:row>
    <x:row r="51" ht="15.75" customHeight="1">
      <x:c r="B51" s="101"/>
      <x:c r="C51" s="101"/>
      <x:c r="D51" s="102"/>
      <x:c r="E51" s="101"/>
      <x:c r="F51" s="102"/>
    </x:row>
    <x:row r="52" ht="15.75" customHeight="1">
      <x:c r="B52" s="104" t="s">
        <x:v>322</x:v>
      </x:c>
      <x:c r="C52" s="105"/>
      <x:c r="D52" s="106" t="s">
        <x:v>323</x:v>
      </x:c>
      <x:c r="E52" s="107" t="s">
        <x:v>234</x:v>
      </x:c>
      <x:c r="F52" s="106"/>
    </x:row>
    <x:row r="53" ht="15.75" customHeight="1">
      <x:c r="B53" s="101"/>
      <x:c r="C53" s="101" t="s">
        <x:v>245</x:v>
      </x:c>
      <x:c r="D53" s="102" t="s">
        <x:v>324</x:v>
      </x:c>
      <x:c r="E53" s="101" t="s">
        <x:v>231</x:v>
      </x:c>
      <x:c r="F53" s="102"/>
    </x:row>
    <x:row r="54" ht="15.75" customHeight="1">
      <x:c r="B54" s="26"/>
      <x:c r="C54" s="26" t="s">
        <x:v>325</x:v>
      </x:c>
      <x:c r="D54" s="103" t="s">
        <x:v>326</x:v>
      </x:c>
      <x:c r="E54" s="26" t="s">
        <x:v>327</x:v>
      </x:c>
      <x:c r="F54" s="103" t="s">
        <x:v>196</x:v>
      </x:c>
    </x:row>
    <x:row r="55" ht="15.75" customHeight="1">
      <x:c r="B55" s="101"/>
      <x:c r="C55" s="101" t="s">
        <x:v>328</x:v>
      </x:c>
      <x:c r="D55" s="102" t="s">
        <x:v>329</x:v>
      </x:c>
      <x:c r="E55" s="101" t="s">
        <x:v>327</x:v>
      </x:c>
      <x:c r="F55" s="102" t="s">
        <x:v>197</x:v>
      </x:c>
    </x:row>
    <x:row r="56" ht="15.75" customHeight="1">
      <x:c r="B56" s="26"/>
      <x:c r="C56" s="26" t="s">
        <x:v>330</x:v>
      </x:c>
      <x:c r="D56" s="103" t="s">
        <x:v>331</x:v>
      </x:c>
      <x:c r="E56" s="26" t="s">
        <x:v>327</x:v>
      </x:c>
      <x:c r="F56" s="103" t="s">
        <x:v>199</x:v>
      </x:c>
    </x:row>
    <x:row r="57" ht="15.75" customHeight="1">
      <x:c r="B57" s="101"/>
      <x:c r="C57" s="101" t="s">
        <x:v>332</x:v>
      </x:c>
      <x:c r="D57" s="102" t="s">
        <x:v>333</x:v>
      </x:c>
      <x:c r="E57" s="101" t="s">
        <x:v>327</x:v>
      </x:c>
      <x:c r="F57" s="102" t="s">
        <x:v>334</x:v>
      </x:c>
    </x:row>
    <x:row r="58" ht="15.75" customHeight="1">
      <x:c r="B58" s="26"/>
      <x:c r="C58" s="26" t="s">
        <x:v>335</x:v>
      </x:c>
      <x:c r="D58" s="103" t="s">
        <x:v>336</x:v>
      </x:c>
      <x:c r="E58" s="26" t="s">
        <x:v>327</x:v>
      </x:c>
      <x:c r="F58" s="103" t="s">
        <x:v>197</x:v>
      </x:c>
    </x:row>
    <x:row r="59" ht="15.75" customHeight="1">
      <x:c r="B59" s="101"/>
      <x:c r="C59" s="101" t="s">
        <x:v>337</x:v>
      </x:c>
      <x:c r="D59" s="102" t="s">
        <x:v>338</x:v>
      </x:c>
      <x:c r="E59" s="101" t="s">
        <x:v>327</x:v>
      </x:c>
      <x:c r="F59" s="102" t="s">
        <x:v>196</x:v>
      </x:c>
    </x:row>
    <x:row r="60" ht="15.75" customHeight="1">
      <x:c r="B60" s="26"/>
      <x:c r="C60" s="26" t="s">
        <x:v>339</x:v>
      </x:c>
      <x:c r="D60" s="103" t="s">
        <x:v>340</x:v>
      </x:c>
      <x:c r="E60" s="26" t="s">
        <x:v>327</x:v>
      </x:c>
      <x:c r="F60" s="103" t="s">
        <x:v>196</x:v>
      </x:c>
    </x:row>
    <x:row r="61" ht="15.75" customHeight="1">
      <x:c r="B61" s="101"/>
      <x:c r="C61" s="101" t="s">
        <x:v>341</x:v>
      </x:c>
      <x:c r="D61" s="102" t="s">
        <x:v>342</x:v>
      </x:c>
      <x:c r="E61" s="101" t="s">
        <x:v>327</x:v>
      </x:c>
      <x:c r="F61" s="102" t="s">
        <x:v>197</x:v>
      </x:c>
    </x:row>
    <x:row r="62" ht="15.75" customHeight="1">
      <x:c r="B62" s="26"/>
      <x:c r="C62" s="26" t="s">
        <x:v>343</x:v>
      </x:c>
      <x:c r="D62" s="103" t="s">
        <x:v>344</x:v>
      </x:c>
      <x:c r="E62" s="26" t="s">
        <x:v>327</x:v>
      </x:c>
      <x:c r="F62" s="103" t="s">
        <x:v>334</x:v>
      </x:c>
    </x:row>
    <x:row r="63" ht="15.75" customHeight="1">
      <x:c r="B63" s="101"/>
      <x:c r="C63" s="101" t="s">
        <x:v>345</x:v>
      </x:c>
      <x:c r="D63" s="102" t="s">
        <x:v>346</x:v>
      </x:c>
      <x:c r="E63" s="101" t="s">
        <x:v>327</x:v>
      </x:c>
      <x:c r="F63" s="102" t="s">
        <x:v>199</x:v>
      </x:c>
    </x:row>
    <x:row r="64" ht="15.75" customHeight="1">
      <x:c r="B64" s="26"/>
      <x:c r="C64" s="26" t="s">
        <x:v>347</x:v>
      </x:c>
      <x:c r="D64" s="103" t="s">
        <x:v>348</x:v>
      </x:c>
      <x:c r="E64" s="26" t="s">
        <x:v>327</x:v>
      </x:c>
      <x:c r="F64" s="103" t="s">
        <x:v>196</x:v>
      </x:c>
    </x:row>
    <x:row r="65" ht="15.75" customHeight="1">
      <x:c r="B65" s="101"/>
      <x:c r="C65" s="101" t="s">
        <x:v>349</x:v>
      </x:c>
      <x:c r="D65" s="102" t="s">
        <x:v>350</x:v>
      </x:c>
      <x:c r="E65" s="101" t="s">
        <x:v>327</x:v>
      </x:c>
      <x:c r="F65" s="102" t="s">
        <x:v>334</x:v>
      </x:c>
    </x:row>
    <x:row r="66" ht="15.75" customHeight="1">
      <x:c r="B66" s="26"/>
      <x:c r="C66" s="26" t="s">
        <x:v>351</x:v>
      </x:c>
      <x:c r="D66" s="103" t="s">
        <x:v>352</x:v>
      </x:c>
      <x:c r="E66" s="26" t="s">
        <x:v>327</x:v>
      </x:c>
      <x:c r="F66" s="103" t="s">
        <x:v>200</x:v>
      </x:c>
    </x:row>
    <x:row r="67" ht="15.75" customHeight="1">
      <x:c r="B67" s="101"/>
      <x:c r="C67" s="101" t="s">
        <x:v>353</x:v>
      </x:c>
      <x:c r="D67" s="102" t="s">
        <x:v>354</x:v>
      </x:c>
      <x:c r="E67" s="101" t="s">
        <x:v>327</x:v>
      </x:c>
      <x:c r="F67" s="102" t="s">
        <x:v>196</x:v>
      </x:c>
    </x:row>
    <x:row r="68" ht="15.75" customHeight="1">
      <x:c r="B68" s="26"/>
      <x:c r="C68" s="26" t="s">
        <x:v>355</x:v>
      </x:c>
      <x:c r="D68" s="103" t="s">
        <x:v>356</x:v>
      </x:c>
      <x:c r="E68" s="26" t="s">
        <x:v>327</x:v>
      </x:c>
      <x:c r="F68" s="103" t="s">
        <x:v>334</x:v>
      </x:c>
    </x:row>
    <x:row r="69" ht="15.75" customHeight="1">
      <x:c r="B69" s="101"/>
      <x:c r="C69" s="101" t="s">
        <x:v>357</x:v>
      </x:c>
      <x:c r="D69" s="102" t="s">
        <x:v>358</x:v>
      </x:c>
      <x:c r="E69" s="101" t="s">
        <x:v>327</x:v>
      </x:c>
      <x:c r="F69" s="102" t="s">
        <x:v>334</x:v>
      </x:c>
    </x:row>
    <x:row r="70" ht="15.75" customHeight="1">
      <x:c r="B70" s="26"/>
      <x:c r="C70" s="26" t="s">
        <x:v>359</x:v>
      </x:c>
      <x:c r="D70" s="103" t="s">
        <x:v>360</x:v>
      </x:c>
      <x:c r="E70" s="26" t="s">
        <x:v>327</x:v>
      </x:c>
      <x:c r="F70" s="103" t="s">
        <x:v>197</x:v>
      </x:c>
    </x:row>
    <x:row r="71" ht="15.75" customHeight="1">
      <x:c r="B71" s="101"/>
      <x:c r="C71" s="101" t="s">
        <x:v>361</x:v>
      </x:c>
      <x:c r="D71" s="102" t="s">
        <x:v>362</x:v>
      </x:c>
      <x:c r="E71" s="101" t="s">
        <x:v>327</x:v>
      </x:c>
      <x:c r="F71" s="102" t="s">
        <x:v>334</x:v>
      </x:c>
    </x:row>
    <x:row r="72" ht="15.75" customHeight="1">
      <x:c r="B72" s="26"/>
      <x:c r="C72" s="26" t="s">
        <x:v>363</x:v>
      </x:c>
      <x:c r="D72" s="103" t="s">
        <x:v>364</x:v>
      </x:c>
      <x:c r="E72" s="26" t="s">
        <x:v>327</x:v>
      </x:c>
      <x:c r="F72" s="103" t="s">
        <x:v>200</x:v>
      </x:c>
    </x:row>
    <x:row r="73" ht="15.75" customHeight="1">
      <x:c r="B73" s="101"/>
      <x:c r="C73" s="101" t="s">
        <x:v>365</x:v>
      </x:c>
      <x:c r="D73" s="102" t="s">
        <x:v>366</x:v>
      </x:c>
      <x:c r="E73" s="101" t="s">
        <x:v>327</x:v>
      </x:c>
      <x:c r="F73" s="102" t="s">
        <x:v>196</x:v>
      </x:c>
    </x:row>
    <x:row r="74" ht="15.75" customHeight="1">
      <x:c r="B74" s="26"/>
      <x:c r="C74" s="26" t="s">
        <x:v>367</x:v>
      </x:c>
      <x:c r="D74" s="103" t="s">
        <x:v>368</x:v>
      </x:c>
      <x:c r="E74" s="26" t="s">
        <x:v>327</x:v>
      </x:c>
      <x:c r="F74" s="103" t="s">
        <x:v>199</x:v>
      </x:c>
    </x:row>
    <x:row r="75" ht="15.75" customHeight="1">
      <x:c r="B75" s="101"/>
      <x:c r="C75" s="101" t="s">
        <x:v>369</x:v>
      </x:c>
      <x:c r="D75" s="102" t="s">
        <x:v>370</x:v>
      </x:c>
      <x:c r="E75" s="101" t="s">
        <x:v>327</x:v>
      </x:c>
      <x:c r="F75" s="102" t="s">
        <x:v>334</x:v>
      </x:c>
    </x:row>
    <x:row r="76" ht="15.75" customHeight="1">
      <x:c r="B76" s="26"/>
      <x:c r="C76" s="26" t="s">
        <x:v>371</x:v>
      </x:c>
      <x:c r="D76" s="103" t="s">
        <x:v>372</x:v>
      </x:c>
      <x:c r="E76" s="26" t="s">
        <x:v>327</x:v>
      </x:c>
      <x:c r="F76" s="103" t="s">
        <x:v>200</x:v>
      </x:c>
    </x:row>
    <x:row r="77" ht="15.75" customHeight="1">
      <x:c r="B77" s="101"/>
      <x:c r="C77" s="101" t="s">
        <x:v>373</x:v>
      </x:c>
      <x:c r="D77" s="102" t="s">
        <x:v>374</x:v>
      </x:c>
      <x:c r="E77" s="101" t="s">
        <x:v>327</x:v>
      </x:c>
      <x:c r="F77" s="102" t="s">
        <x:v>196</x:v>
      </x:c>
    </x:row>
    <x:row r="78" ht="15.75" customHeight="1">
      <x:c r="B78" s="26"/>
      <x:c r="C78" s="26" t="s">
        <x:v>375</x:v>
      </x:c>
      <x:c r="D78" s="103" t="s">
        <x:v>376</x:v>
      </x:c>
      <x:c r="E78" s="26" t="s">
        <x:v>327</x:v>
      </x:c>
      <x:c r="F78" s="103" t="s">
        <x:v>197</x:v>
      </x:c>
    </x:row>
    <x:row r="79" ht="15.75" customHeight="1">
      <x:c r="B79" s="101"/>
      <x:c r="C79" s="101" t="s">
        <x:v>377</x:v>
      </x:c>
      <x:c r="D79" s="102" t="s">
        <x:v>378</x:v>
      </x:c>
      <x:c r="E79" s="101" t="s">
        <x:v>327</x:v>
      </x:c>
      <x:c r="F79" s="102" t="s">
        <x:v>199</x:v>
      </x:c>
    </x:row>
    <x:row r="80" ht="15.75" customHeight="1">
      <x:c r="B80" s="26"/>
      <x:c r="C80" s="26" t="s">
        <x:v>379</x:v>
      </x:c>
      <x:c r="D80" s="103" t="s">
        <x:v>380</x:v>
      </x:c>
      <x:c r="E80" s="26" t="s">
        <x:v>327</x:v>
      </x:c>
      <x:c r="F80" s="103" t="s">
        <x:v>196</x:v>
      </x:c>
    </x:row>
    <x:row r="81" ht="15.75" customHeight="1">
      <x:c r="B81" s="101"/>
      <x:c r="C81" s="101" t="s">
        <x:v>381</x:v>
      </x:c>
      <x:c r="D81" s="102" t="s">
        <x:v>382</x:v>
      </x:c>
      <x:c r="E81" s="101" t="s">
        <x:v>327</x:v>
      </x:c>
      <x:c r="F81" s="102" t="s">
        <x:v>200</x:v>
      </x:c>
    </x:row>
    <x:row r="82" ht="15.75" customHeight="1">
      <x:c r="B82" s="26"/>
      <x:c r="C82" s="26" t="s">
        <x:v>383</x:v>
      </x:c>
      <x:c r="D82" s="103" t="s">
        <x:v>384</x:v>
      </x:c>
      <x:c r="E82" s="26" t="s">
        <x:v>327</x:v>
      </x:c>
      <x:c r="F82" s="103" t="s">
        <x:v>334</x:v>
      </x:c>
    </x:row>
    <x:row r="83" ht="15.75" customHeight="1">
      <x:c r="B83" s="101"/>
      <x:c r="C83" s="101" t="s">
        <x:v>385</x:v>
      </x:c>
      <x:c r="D83" s="102" t="s">
        <x:v>386</x:v>
      </x:c>
      <x:c r="E83" s="101" t="s">
        <x:v>327</x:v>
      </x:c>
      <x:c r="F83" s="102" t="s">
        <x:v>199</x:v>
      </x:c>
    </x:row>
    <x:row r="84" ht="15.75" customHeight="1">
      <x:c r="B84" s="26"/>
      <x:c r="C84" s="26" t="s">
        <x:v>387</x:v>
      </x:c>
      <x:c r="D84" s="103" t="s">
        <x:v>388</x:v>
      </x:c>
      <x:c r="E84" s="26" t="s">
        <x:v>327</x:v>
      </x:c>
      <x:c r="F84" s="103" t="s">
        <x:v>200</x:v>
      </x:c>
    </x:row>
    <x:row r="85" ht="15.75" customHeight="1">
      <x:c r="B85" s="101"/>
      <x:c r="C85" s="101" t="s">
        <x:v>389</x:v>
      </x:c>
      <x:c r="D85" s="102" t="s">
        <x:v>390</x:v>
      </x:c>
      <x:c r="E85" s="101" t="s">
        <x:v>327</x:v>
      </x:c>
      <x:c r="F85" s="102" t="s">
        <x:v>199</x:v>
      </x:c>
    </x:row>
    <x:row r="86" ht="15.75" customHeight="1">
      <x:c r="B86" s="26"/>
      <x:c r="C86" s="26" t="s">
        <x:v>391</x:v>
      </x:c>
      <x:c r="D86" s="103" t="s">
        <x:v>392</x:v>
      </x:c>
      <x:c r="E86" s="26" t="s">
        <x:v>327</x:v>
      </x:c>
      <x:c r="F86" s="103" t="s">
        <x:v>199</x:v>
      </x:c>
    </x:row>
    <x:row r="87" ht="15.75" customHeight="1">
      <x:c r="B87" s="101"/>
      <x:c r="C87" s="101" t="s">
        <x:v>393</x:v>
      </x:c>
      <x:c r="D87" s="102" t="s">
        <x:v>394</x:v>
      </x:c>
      <x:c r="E87" s="101" t="s">
        <x:v>327</x:v>
      </x:c>
      <x:c r="F87" s="102" t="s">
        <x:v>200</x:v>
      </x:c>
    </x:row>
    <x:row r="88" ht="15.75" customHeight="1">
      <x:c r="B88" s="26"/>
      <x:c r="C88" s="26" t="s">
        <x:v>395</x:v>
      </x:c>
      <x:c r="D88" s="103" t="s">
        <x:v>396</x:v>
      </x:c>
      <x:c r="E88" s="26" t="s">
        <x:v>327</x:v>
      </x:c>
      <x:c r="F88" s="103" t="s">
        <x:v>334</x:v>
      </x:c>
    </x:row>
    <x:row r="89" ht="15.75" customHeight="1">
      <x:c r="B89" s="101"/>
      <x:c r="C89" s="101" t="s">
        <x:v>397</x:v>
      </x:c>
      <x:c r="D89" s="102" t="s">
        <x:v>398</x:v>
      </x:c>
      <x:c r="E89" s="101" t="s">
        <x:v>327</x:v>
      </x:c>
      <x:c r="F89" s="102" t="s">
        <x:v>200</x:v>
      </x:c>
    </x:row>
    <x:row r="90" ht="15.75" customHeight="1">
      <x:c r="B90" s="26"/>
      <x:c r="C90" s="26" t="s">
        <x:v>399</x:v>
      </x:c>
      <x:c r="D90" s="103" t="s">
        <x:v>400</x:v>
      </x:c>
      <x:c r="E90" s="26" t="s">
        <x:v>327</x:v>
      </x:c>
      <x:c r="F90" s="103" t="s">
        <x:v>334</x:v>
      </x:c>
    </x:row>
    <x:row r="91" ht="15.75" customHeight="1">
      <x:c r="B91" s="101"/>
      <x:c r="C91" s="101" t="s">
        <x:v>401</x:v>
      </x:c>
      <x:c r="D91" s="102" t="s">
        <x:v>402</x:v>
      </x:c>
      <x:c r="E91" s="101" t="s">
        <x:v>327</x:v>
      </x:c>
      <x:c r="F91" s="102" t="s">
        <x:v>199</x:v>
      </x:c>
    </x:row>
    <x:row r="92" ht="15.75" customHeight="1">
      <x:c r="B92" s="26"/>
      <x:c r="C92" s="26" t="s">
        <x:v>403</x:v>
      </x:c>
      <x:c r="D92" s="103" t="s">
        <x:v>404</x:v>
      </x:c>
      <x:c r="E92" s="26" t="s">
        <x:v>327</x:v>
      </x:c>
      <x:c r="F92" s="103" t="s">
        <x:v>200</x:v>
      </x:c>
    </x:row>
    <x:row r="94" ht="21.75" customHeight="1">
      <x:c r="B94" s="164" t="s">
        <x:v>405</x:v>
      </x:c>
      <x:c r="C94" s="145"/>
      <x:c r="D94" s="145"/>
      <x:c r="E94" s="145"/>
      <x:c r="F94" s="150"/>
    </x:row>
    <x:row r="95" ht="18" customHeight="1">
      <x:c r="B95" s="108"/>
      <x:c r="C95" s="109" t="s">
        <x:v>245</x:v>
      </x:c>
      <x:c r="D95" s="165" t="s">
        <x:v>406</x:v>
      </x:c>
      <x:c r="E95" s="156"/>
      <x:c r="F95" s="157"/>
    </x:row>
    <x:row r="96" ht="18" customHeight="1">
      <x:c r="B96" s="110" t="s">
        <x:v>407</x:v>
      </x:c>
      <x:c r="C96" s="111" t="s">
        <x:v>174</x:v>
      </x:c>
      <x:c r="D96" s="112" t="s">
        <x:v>408</x:v>
      </x:c>
      <x:c r="E96" s="42" t="s">
        <x:v>249</x:v>
      </x:c>
      <x:c r="F96" s="113" t="s">
        <x:v>38</x:v>
      </x:c>
    </x:row>
    <x:row r="97" ht="18" customHeight="1">
      <x:c r="B97" s="110" t="s">
        <x:v>407</x:v>
      </x:c>
      <x:c r="C97" s="111" t="s">
        <x:v>175</x:v>
      </x:c>
      <x:c r="D97" s="112" t="s">
        <x:v>409</x:v>
      </x:c>
      <x:c r="E97" s="42" t="s">
        <x:v>249</x:v>
      </x:c>
      <x:c r="F97" s="113" t="s">
        <x:v>38</x:v>
      </x:c>
    </x:row>
    <x:row r="98" ht="18" customHeight="1">
      <x:c r="B98" s="110" t="s">
        <x:v>407</x:v>
      </x:c>
      <x:c r="C98" s="111" t="s">
        <x:v>176</x:v>
      </x:c>
      <x:c r="D98" s="112" t="s">
        <x:v>410</x:v>
      </x:c>
      <x:c r="E98" s="42" t="s">
        <x:v>249</x:v>
      </x:c>
      <x:c r="F98" s="113" t="s">
        <x:v>38</x:v>
      </x:c>
    </x:row>
    <x:row r="99" ht="18" customHeight="1">
      <x:c r="B99" s="110" t="s">
        <x:v>407</x:v>
      </x:c>
      <x:c r="C99" s="111" t="s">
        <x:v>177</x:v>
      </x:c>
      <x:c r="D99" s="112" t="s">
        <x:v>411</x:v>
      </x:c>
      <x:c r="E99" s="42" t="s">
        <x:v>249</x:v>
      </x:c>
      <x:c r="F99" s="113" t="s">
        <x:v>38</x:v>
      </x:c>
    </x:row>
    <x:row r="100" ht="18" customHeight="1">
      <x:c r="B100" s="114" t="s">
        <x:v>407</x:v>
      </x:c>
      <x:c r="C100" s="115" t="s">
        <x:v>178</x:v>
      </x:c>
      <x:c r="D100" s="116" t="s">
        <x:v>412</x:v>
      </x:c>
      <x:c r="E100" s="117" t="s">
        <x:v>249</x:v>
      </x:c>
      <x:c r="F100" s="118" t="s">
        <x:v>39</x:v>
      </x:c>
    </x:row>
    <x:row r="101" ht="18" customHeight="1">
      <x:c r="B101" s="114" t="s">
        <x:v>407</x:v>
      </x:c>
      <x:c r="C101" s="115" t="s">
        <x:v>179</x:v>
      </x:c>
      <x:c r="D101" s="116" t="s">
        <x:v>413</x:v>
      </x:c>
      <x:c r="E101" s="117" t="s">
        <x:v>249</x:v>
      </x:c>
      <x:c r="F101" s="118" t="s">
        <x:v>39</x:v>
      </x:c>
    </x:row>
    <x:row r="102" ht="18" customHeight="1">
      <x:c r="B102" s="114" t="s">
        <x:v>407</x:v>
      </x:c>
      <x:c r="C102" s="115" t="s">
        <x:v>180</x:v>
      </x:c>
      <x:c r="D102" s="116" t="s">
        <x:v>414</x:v>
      </x:c>
      <x:c r="E102" s="117" t="s">
        <x:v>249</x:v>
      </x:c>
      <x:c r="F102" s="118" t="s">
        <x:v>39</x:v>
      </x:c>
    </x:row>
    <x:row r="103" ht="18" customHeight="1">
      <x:c r="B103" s="114" t="s">
        <x:v>407</x:v>
      </x:c>
      <x:c r="C103" s="115" t="s">
        <x:v>181</x:v>
      </x:c>
      <x:c r="D103" s="116" t="s">
        <x:v>415</x:v>
      </x:c>
      <x:c r="E103" s="117" t="s">
        <x:v>249</x:v>
      </x:c>
      <x:c r="F103" s="118" t="s">
        <x:v>39</x:v>
      </x:c>
    </x:row>
    <x:row r="104" ht="18" customHeight="1">
      <x:c r="B104" s="119" t="s">
        <x:v>407</x:v>
      </x:c>
      <x:c r="C104" s="120" t="s">
        <x:v>182</x:v>
      </x:c>
      <x:c r="D104" s="121" t="s">
        <x:v>416</x:v>
      </x:c>
      <x:c r="E104" s="54" t="s">
        <x:v>249</x:v>
      </x:c>
      <x:c r="F104" s="122" t="s">
        <x:v>40</x:v>
      </x:c>
    </x:row>
    <x:row r="105" ht="18" customHeight="1">
      <x:c r="B105" s="119" t="s">
        <x:v>407</x:v>
      </x:c>
      <x:c r="C105" s="120" t="s">
        <x:v>183</x:v>
      </x:c>
      <x:c r="D105" s="121" t="s">
        <x:v>417</x:v>
      </x:c>
      <x:c r="E105" s="54" t="s">
        <x:v>249</x:v>
      </x:c>
      <x:c r="F105" s="122" t="s">
        <x:v>40</x:v>
      </x:c>
    </x:row>
    <x:row r="106" ht="18" customHeight="1">
      <x:c r="B106" s="119" t="s">
        <x:v>407</x:v>
      </x:c>
      <x:c r="C106" s="120" t="s">
        <x:v>184</x:v>
      </x:c>
      <x:c r="D106" s="121" t="s">
        <x:v>418</x:v>
      </x:c>
      <x:c r="E106" s="54" t="s">
        <x:v>249</x:v>
      </x:c>
      <x:c r="F106" s="122" t="s">
        <x:v>40</x:v>
      </x:c>
    </x:row>
    <x:row r="107" ht="18" customHeight="1">
      <x:c r="B107" s="119" t="s">
        <x:v>407</x:v>
      </x:c>
      <x:c r="C107" s="120" t="s">
        <x:v>185</x:v>
      </x:c>
      <x:c r="D107" s="121" t="s">
        <x:v>419</x:v>
      </x:c>
      <x:c r="E107" s="54" t="s">
        <x:v>249</x:v>
      </x:c>
      <x:c r="F107" s="122" t="s">
        <x:v>40</x:v>
      </x:c>
    </x:row>
    <x:row r="108" ht="18" customHeight="1">
      <x:c r="B108" s="123" t="s">
        <x:v>407</x:v>
      </x:c>
      <x:c r="C108" s="61" t="s">
        <x:v>186</x:v>
      </x:c>
      <x:c r="D108" s="62" t="s">
        <x:v>420</x:v>
      </x:c>
      <x:c r="E108" s="51" t="s">
        <x:v>249</x:v>
      </x:c>
      <x:c r="F108" s="124" t="s">
        <x:v>41</x:v>
      </x:c>
    </x:row>
    <x:row r="109" ht="18" customHeight="1">
      <x:c r="B109" s="123" t="s">
        <x:v>407</x:v>
      </x:c>
      <x:c r="C109" s="61" t="s">
        <x:v>187</x:v>
      </x:c>
      <x:c r="D109" s="62" t="s">
        <x:v>421</x:v>
      </x:c>
      <x:c r="E109" s="51" t="s">
        <x:v>249</x:v>
      </x:c>
      <x:c r="F109" s="124" t="s">
        <x:v>41</x:v>
      </x:c>
    </x:row>
    <x:row r="110" ht="18" customHeight="1">
      <x:c r="B110" s="123" t="s">
        <x:v>407</x:v>
      </x:c>
      <x:c r="C110" s="61" t="s">
        <x:v>188</x:v>
      </x:c>
      <x:c r="D110" s="62" t="s">
        <x:v>422</x:v>
      </x:c>
      <x:c r="E110" s="51" t="s">
        <x:v>249</x:v>
      </x:c>
      <x:c r="F110" s="124" t="s">
        <x:v>41</x:v>
      </x:c>
    </x:row>
    <x:row r="111" ht="18" customHeight="1">
      <x:c r="B111" s="123" t="s">
        <x:v>407</x:v>
      </x:c>
      <x:c r="C111" s="61" t="s">
        <x:v>189</x:v>
      </x:c>
      <x:c r="D111" s="62" t="s">
        <x:v>423</x:v>
      </x:c>
      <x:c r="E111" s="51" t="s">
        <x:v>249</x:v>
      </x:c>
      <x:c r="F111" s="124" t="s">
        <x:v>41</x:v>
      </x:c>
    </x:row>
    <x:row r="112" ht="18" customHeight="1">
      <x:c r="B112" s="125" t="s">
        <x:v>407</x:v>
      </x:c>
      <x:c r="C112" s="126" t="s">
        <x:v>190</x:v>
      </x:c>
      <x:c r="D112" s="127" t="s">
        <x:v>424</x:v>
      </x:c>
      <x:c r="E112" s="45" t="s">
        <x:v>249</x:v>
      </x:c>
      <x:c r="F112" s="128" t="s">
        <x:v>42</x:v>
      </x:c>
    </x:row>
    <x:row r="113" ht="18" customHeight="1">
      <x:c r="B113" s="125" t="s">
        <x:v>407</x:v>
      </x:c>
      <x:c r="C113" s="126" t="s">
        <x:v>191</x:v>
      </x:c>
      <x:c r="D113" s="127" t="s">
        <x:v>425</x:v>
      </x:c>
      <x:c r="E113" s="45" t="s">
        <x:v>249</x:v>
      </x:c>
      <x:c r="F113" s="128" t="s">
        <x:v>42</x:v>
      </x:c>
    </x:row>
    <x:row r="114" ht="18" customHeight="1">
      <x:c r="B114" s="125" t="s">
        <x:v>407</x:v>
      </x:c>
      <x:c r="C114" s="126" t="s">
        <x:v>192</x:v>
      </x:c>
      <x:c r="D114" s="127" t="s">
        <x:v>426</x:v>
      </x:c>
      <x:c r="E114" s="45" t="s">
        <x:v>249</x:v>
      </x:c>
      <x:c r="F114" s="128" t="s">
        <x:v>42</x:v>
      </x:c>
    </x:row>
    <x:row r="115" ht="18" customHeight="1">
      <x:c r="B115" s="125" t="s">
        <x:v>407</x:v>
      </x:c>
      <x:c r="C115" s="126" t="s">
        <x:v>193</x:v>
      </x:c>
      <x:c r="D115" s="127" t="s">
        <x:v>427</x:v>
      </x:c>
      <x:c r="E115" s="45" t="s">
        <x:v>249</x:v>
      </x:c>
      <x:c r="F115" s="128" t="s">
        <x:v>42</x:v>
      </x:c>
    </x:row>
    <x:row r="117" ht="21.75" customHeight="1">
      <x:c r="B117" s="163" t="s">
        <x:v>428</x:v>
      </x:c>
      <x:c r="C117" s="145"/>
      <x:c r="D117" s="145"/>
      <x:c r="E117" s="145"/>
      <x:c r="F117" s="150"/>
    </x:row>
    <x:row r="118" ht="18" customHeight="1">
      <x:c r="B118" s="51"/>
      <x:c r="C118" s="61" t="s">
        <x:v>245</x:v>
      </x:c>
      <x:c r="D118" s="158" t="s">
        <x:v>429</x:v>
      </x:c>
      <x:c r="E118" s="156"/>
      <x:c r="F118" s="157"/>
    </x:row>
    <x:row r="119" ht="18" customHeight="1">
      <x:c r="B119" s="129" t="s">
        <x:v>430</x:v>
      </x:c>
      <x:c r="C119" s="61" t="s">
        <x:v>73</x:v>
      </x:c>
      <x:c r="D119" s="62" t="s">
        <x:v>431</x:v>
      </x:c>
      <x:c r="E119" s="51" t="s">
        <x:v>432</x:v>
      </x:c>
      <x:c r="F119" s="130" t="s">
        <x:v>433</x:v>
      </x:c>
    </x:row>
    <x:row r="120" ht="18" customHeight="1">
      <x:c r="B120" s="131" t="s">
        <x:v>430</x:v>
      </x:c>
      <x:c r="C120" s="63" t="s">
        <x:v>75</x:v>
      </x:c>
      <x:c r="D120" s="12" t="s">
        <x:v>434</x:v>
      </x:c>
      <x:c r="E120" s="132" t="s">
        <x:v>432</x:v>
      </x:c>
      <x:c r="F120" s="133" t="s">
        <x:v>433</x:v>
      </x:c>
    </x:row>
    <x:row r="121" ht="18" customHeight="1">
      <x:c r="B121" s="129" t="s">
        <x:v>430</x:v>
      </x:c>
      <x:c r="C121" s="61" t="s">
        <x:v>77</x:v>
      </x:c>
      <x:c r="D121" s="62" t="s">
        <x:v>435</x:v>
      </x:c>
      <x:c r="E121" s="51" t="s">
        <x:v>432</x:v>
      </x:c>
      <x:c r="F121" s="130" t="s">
        <x:v>433</x:v>
      </x:c>
    </x:row>
    <x:row r="122" ht="18" customHeight="1">
      <x:c r="B122" s="131" t="s">
        <x:v>430</x:v>
      </x:c>
      <x:c r="C122" s="63" t="s">
        <x:v>79</x:v>
      </x:c>
      <x:c r="D122" s="12" t="s">
        <x:v>436</x:v>
      </x:c>
      <x:c r="E122" s="132" t="s">
        <x:v>432</x:v>
      </x:c>
      <x:c r="F122" s="133" t="s">
        <x:v>433</x:v>
      </x:c>
    </x:row>
    <x:row r="123" ht="18" customHeight="1">
      <x:c r="B123" s="129" t="s">
        <x:v>430</x:v>
      </x:c>
      <x:c r="C123" s="61" t="s">
        <x:v>81</x:v>
      </x:c>
      <x:c r="D123" s="62" t="s">
        <x:v>437</x:v>
      </x:c>
      <x:c r="E123" s="51" t="s">
        <x:v>432</x:v>
      </x:c>
      <x:c r="F123" s="130" t="s">
        <x:v>433</x:v>
      </x:c>
    </x:row>
    <x:row r="124" ht="18" customHeight="1">
      <x:c r="B124" s="131" t="s">
        <x:v>430</x:v>
      </x:c>
      <x:c r="C124" s="63" t="s">
        <x:v>83</x:v>
      </x:c>
      <x:c r="D124" s="12" t="s">
        <x:v>438</x:v>
      </x:c>
      <x:c r="E124" s="132" t="s">
        <x:v>432</x:v>
      </x:c>
      <x:c r="F124" s="133" t="s">
        <x:v>433</x:v>
      </x:c>
    </x:row>
    <x:row r="125" ht="18" customHeight="1">
      <x:c r="B125" s="129" t="s">
        <x:v>430</x:v>
      </x:c>
      <x:c r="C125" s="61" t="s">
        <x:v>85</x:v>
      </x:c>
      <x:c r="D125" s="62" t="s">
        <x:v>439</x:v>
      </x:c>
      <x:c r="E125" s="51" t="s">
        <x:v>432</x:v>
      </x:c>
      <x:c r="F125" s="130" t="s">
        <x:v>433</x:v>
      </x:c>
    </x:row>
    <x:row r="126" ht="18" customHeight="1">
      <x:c r="B126" s="131" t="s">
        <x:v>430</x:v>
      </x:c>
      <x:c r="C126" s="63" t="s">
        <x:v>87</x:v>
      </x:c>
      <x:c r="D126" s="12" t="s">
        <x:v>440</x:v>
      </x:c>
      <x:c r="E126" s="132" t="s">
        <x:v>432</x:v>
      </x:c>
      <x:c r="F126" s="133" t="s">
        <x:v>433</x:v>
      </x:c>
    </x:row>
    <x:row r="127" ht="18" customHeight="1">
      <x:c r="B127" s="129" t="s">
        <x:v>430</x:v>
      </x:c>
      <x:c r="C127" s="61" t="s">
        <x:v>89</x:v>
      </x:c>
      <x:c r="D127" s="62" t="s">
        <x:v>441</x:v>
      </x:c>
      <x:c r="E127" s="51" t="s">
        <x:v>432</x:v>
      </x:c>
      <x:c r="F127" s="130" t="s">
        <x:v>433</x:v>
      </x:c>
    </x:row>
    <x:row r="128" ht="18" customHeight="1">
      <x:c r="B128" s="131" t="s">
        <x:v>430</x:v>
      </x:c>
      <x:c r="C128" s="63" t="s">
        <x:v>91</x:v>
      </x:c>
      <x:c r="D128" s="12" t="s">
        <x:v>442</x:v>
      </x:c>
      <x:c r="E128" s="132" t="s">
        <x:v>432</x:v>
      </x:c>
      <x:c r="F128" s="133" t="s">
        <x:v>433</x:v>
      </x:c>
    </x:row>
  </x:sheetData>
  <x:mergeCells>
    <x:mergeCell ref="B1:E1"/>
    <x:mergeCell ref="B117:F117"/>
    <x:mergeCell ref="D118:F118"/>
    <x:mergeCell ref="B94:F94"/>
    <x:mergeCell ref="D95:F9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5"/>
  <x:cols>
    <x:col min="1" max="27" width="16" customWidth="1"/>
  </x:cols>
  <x:sheetData>
    <x:row r="1" ht="34.5" customHeight="1">
      <x:c r="A1" s="134" t="s">
        <x:v>443</x:v>
      </x:c>
      <x:c r="B1" s="134" t="s">
        <x:v>444</x:v>
      </x:c>
      <x:c r="C1" s="134" t="s">
        <x:v>37</x:v>
      </x:c>
      <x:c r="D1" s="134" t="s">
        <x:v>445</x:v>
      </x:c>
      <x:c r="E1" s="134" t="s">
        <x:v>446</x:v>
      </x:c>
      <x:c r="F1" s="134" t="s">
        <x:v>447</x:v>
      </x:c>
      <x:c r="G1" s="134" t="s">
        <x:v>448</x:v>
      </x:c>
      <x:c r="H1" s="134" t="s">
        <x:v>449</x:v>
      </x:c>
      <x:c r="I1" s="134" t="s">
        <x:v>450</x:v>
      </x:c>
      <x:c r="J1" s="134" t="s">
        <x:v>451</x:v>
      </x:c>
      <x:c r="K1" s="134" t="s">
        <x:v>452</x:v>
      </x:c>
      <x:c r="L1" s="134" t="str">
        <x:v>MAIA_MediaGlobal_Exploratoria</x:v>
      </x:c>
      <x:c r="M1" s="134" t="s">
        <x:v>453</x:v>
      </x:c>
      <x:c r="N1" s="134" t="s">
        <x:v>454</x:v>
      </x:c>
      <x:c r="O1" s="134" t="s">
        <x:v>455</x:v>
      </x:c>
      <x:c r="P1" s="134" t="s">
        <x:v>456</x:v>
      </x:c>
      <x:c r="Q1" s="134" t="s">
        <x:v>457</x:v>
      </x:c>
      <x:c r="R1" s="134" t="s">
        <x:v>458</x:v>
      </x:c>
      <x:c r="S1" s="134" t="s">
        <x:v>459</x:v>
      </x:c>
      <x:c r="T1" s="134" t="s">
        <x:v>460</x:v>
      </x:c>
      <x:c r="U1" s="134" t="s">
        <x:v>461</x:v>
      </x:c>
      <x:c r="V1" s="134" t="s">
        <x:v>462</x:v>
      </x:c>
      <x:c r="W1" s="134" t="s">
        <x:v>463</x:v>
      </x:c>
      <x:c r="X1" s="134" t="s">
        <x:v>464</x:v>
      </x:c>
      <x:c r="Y1" s="134" t="s">
        <x:v>465</x:v>
      </x:c>
      <x:c r="Z1" s="134" t="s">
        <x:v>466</x:v>
      </x:c>
      <x:c r="AA1" s="134" t="str">
        <x:v>GSES_Leitura</x:v>
      </x:c>
      <x:c r="AB1" t="s">
        <x:v>467</x:v>
      </x:c>
      <x:c r="AC1" t="s">
        <x:v>468</x:v>
      </x:c>
    </x:row>
    <x:row r="2" ht="18" customHeight="1">
      <x:c r="A2" s="26" t="n">
        <x:f>'📥 DADOS BRUTOS'!B3</x:f>
        <x:v>0</x:v>
      </x:c>
      <x:c r="B2" s="26" t="n">
        <x:f>'📥 DADOS BRUTOS'!C3</x:f>
        <x:v>0</x:v>
      </x:c>
      <x:c r="C2" s="26" t="n">
        <x:f>'📥 DADOS BRUTOS'!D3</x:f>
        <x:v>0</x:v>
      </x:c>
      <x:c r="D2" s="36" t="str">
        <x:f>'🧮 MAIA-2 Scores'!E3</x:f>
      </x:c>
      <x:c r="E2" s="36" t="str">
        <x:f>'🧮 MAIA-2 Scores'!F3</x:f>
      </x:c>
      <x:c r="F2" s="36" t="str">
        <x:f>'🧮 MAIA-2 Scores'!G3</x:f>
      </x:c>
      <x:c r="G2" s="36" t="str">
        <x:f>'🧮 MAIA-2 Scores'!H3</x:f>
      </x:c>
      <x:c r="H2" s="36" t="str">
        <x:f>'🧮 MAIA-2 Scores'!I3</x:f>
      </x:c>
      <x:c r="I2" s="36" t="str">
        <x:f>'🧮 MAIA-2 Scores'!J3</x:f>
      </x:c>
      <x:c r="J2" s="36" t="str">
        <x:f>'🧮 MAIA-2 Scores'!K3</x:f>
      </x:c>
      <x:c r="K2" s="36" t="str">
        <x:f>'🧮 MAIA-2 Scores'!L3</x:f>
      </x:c>
      <x:c r="L2" s="36" t="n">
        <x:f>'🧮 MAIA-2 Scores'!M3</x:f>
        <x:v>0</x:v>
      </x:c>
      <x:c r="M2" s="36" t="str">
        <x:f>'🧠 FFMQ Scores'!E3</x:f>
      </x:c>
      <x:c r="N2" s="36" t="str">
        <x:f>'🧠 FFMQ Scores'!F3</x:f>
      </x:c>
      <x:c r="O2" s="36" t="str">
        <x:f>'🧠 FFMQ Scores'!G3</x:f>
      </x:c>
      <x:c r="P2" s="36" t="str">
        <x:f>'🧠 FFMQ Scores'!H3</x:f>
      </x:c>
      <x:c r="Q2" s="36" t="str">
        <x:f>'🧠 FFMQ Scores'!I3</x:f>
      </x:c>
      <x:c r="R2" s="36" t="str">
        <x:f>'🧠 FFMQ Scores'!J3</x:f>
      </x:c>
      <x:c r="S2" s="36" t="str">
        <x:f>'🌀 IPS-20 Scores'!E3</x:f>
      </x:c>
      <x:c r="T2" s="36" t="str">
        <x:f>'🌀 IPS-20 Scores'!F3</x:f>
      </x:c>
      <x:c r="U2" s="36" t="str">
        <x:f>'🌀 IPS-20 Scores'!G3</x:f>
      </x:c>
      <x:c r="V2" s="36" t="str">
        <x:f>'🌀 IPS-20 Scores'!H3</x:f>
      </x:c>
      <x:c r="W2" s="36" t="str">
        <x:f>'🌀 IPS-20 Scores'!I3</x:f>
      </x:c>
      <x:c r="X2" s="36" t="str">
        <x:f>'🌀 IPS-20 Scores'!J3</x:f>
      </x:c>
      <x:c r="Y2" s="26" t="n">
        <x:f>'🌀 IPS-20 Scores'!K3</x:f>
        <x:v>0</x:v>
      </x:c>
      <x:c r="Z2" s="36" t="str">
        <x:f>'💪 GSES Scores'!E3</x:f>
      </x:c>
      <x:c r="AA2" s="26" t="n">
        <x:f>'💪 GSES Scores'!F3</x:f>
        <x:v>0</x:v>
      </x:c>
      <x:c r="AB2" t="str">
        <x:f>IF(A2="","",COUNTIF($A$2:A2,A2))</x:f>
      </x:c>
      <x:c r="AC2" t="str">
        <x:f t="shared" ref="AC2:AC31" si="0">IF(A2="","",A2&amp;"|"&amp;AB2)</x:f>
      </x:c>
    </x:row>
    <x:row r="3" ht="18" customHeight="1">
      <x:c r="A3" s="30" t="str">
        <x:f>IF(COUNTA('📥 DADOS BRUTOS'!B3)=0,"",'📥 DADOS BRUTOS'!B3)</x:f>
      </x:c>
      <x:c r="B3" s="30" t="str">
        <x:f>IF(COUNTA('📥 DADOS BRUTOS'!B3)=0,"",'📥 DADOS BRUTOS'!C3)</x:f>
      </x:c>
      <x:c r="C3" s="30" t="str">
        <x:f>IF(COUNTA('📥 DADOS BRUTOS'!B3)=0,"",'📥 DADOS BRUTOS'!D3)</x:f>
      </x:c>
      <x:c r="D3" s="84" t="str">
        <x:f>IF(COUNTA('📥 DADOS BRUTOS'!B3)=0,"",'🧮 MAIA-2 Scores'!E3)</x:f>
      </x:c>
      <x:c r="E3" s="84" t="str">
        <x:f>IF(COUNTA('📥 DADOS BRUTOS'!B3)=0,"",'🧮 MAIA-2 Scores'!F3)</x:f>
      </x:c>
      <x:c r="F3" s="84" t="str">
        <x:f>IF(COUNTA('📥 DADOS BRUTOS'!B3)=0,"",'🧮 MAIA-2 Scores'!G3)</x:f>
      </x:c>
      <x:c r="G3" s="84" t="str">
        <x:f>IF(COUNTA('📥 DADOS BRUTOS'!B3)=0,"",'🧮 MAIA-2 Scores'!H3)</x:f>
      </x:c>
      <x:c r="H3" s="84" t="str">
        <x:f>IF(COUNTA('📥 DADOS BRUTOS'!B3)=0,"",'🧮 MAIA-2 Scores'!I3)</x:f>
      </x:c>
      <x:c r="I3" s="84" t="str">
        <x:f>IF(COUNTA('📥 DADOS BRUTOS'!B3)=0,"",'🧮 MAIA-2 Scores'!J3)</x:f>
      </x:c>
      <x:c r="J3" s="84" t="str">
        <x:f>IF(COUNTA('📥 DADOS BRUTOS'!B3)=0,"",'🧮 MAIA-2 Scores'!K3)</x:f>
      </x:c>
      <x:c r="K3" s="84" t="str">
        <x:f>IF(COUNTA('📥 DADOS BRUTOS'!B3)=0,"",'🧮 MAIA-2 Scores'!L3)</x:f>
      </x:c>
      <x:c r="L3" s="84" t="str">
        <x:f>IF(COUNTA('📥 DADOS BRUTOS'!B3)=0,"",'🧮 MAIA-2 Scores'!M3)</x:f>
      </x:c>
      <x:c r="M3" s="84" t="str">
        <x:f>IF(COUNTA('📥 DADOS BRUTOS'!B3)=0,"",'🧠 FFMQ Scores'!E3)</x:f>
      </x:c>
      <x:c r="N3" s="84" t="str">
        <x:f>IF(COUNTA('📥 DADOS BRUTOS'!B3)=0,"",'🧠 FFMQ Scores'!F3)</x:f>
      </x:c>
      <x:c r="O3" s="84" t="str">
        <x:f>IF(COUNTA('📥 DADOS BRUTOS'!B3)=0,"",'🧠 FFMQ Scores'!G3)</x:f>
      </x:c>
      <x:c r="P3" s="84" t="str">
        <x:f>IF(COUNTA('📥 DADOS BRUTOS'!B3)=0,"",'🧠 FFMQ Scores'!H3)</x:f>
      </x:c>
      <x:c r="Q3" s="84" t="str">
        <x:f>IF(COUNTA('📥 DADOS BRUTOS'!B3)=0,"",'🧠 FFMQ Scores'!I3)</x:f>
      </x:c>
      <x:c r="R3" s="84" t="str">
        <x:f>IF(COUNTA('📥 DADOS BRUTOS'!B3)=0,"",'🧠 FFMQ Scores'!J3)</x:f>
      </x:c>
      <x:c r="S3" s="84" t="str">
        <x:f>IF(COUNTA('📥 DADOS BRUTOS'!B3)=0,"",'🌀 IPS-20 Scores'!E3)</x:f>
      </x:c>
      <x:c r="T3" s="84" t="str">
        <x:f>IF(COUNTA('📥 DADOS BRUTOS'!B3)=0,"",'🌀 IPS-20 Scores'!F3)</x:f>
      </x:c>
      <x:c r="U3" s="84" t="str">
        <x:f>IF(COUNTA('📥 DADOS BRUTOS'!B3)=0,"",'🌀 IPS-20 Scores'!G3)</x:f>
      </x:c>
      <x:c r="V3" s="84" t="str">
        <x:f>IF(COUNTA('📥 DADOS BRUTOS'!B3)=0,"",'🌀 IPS-20 Scores'!H3)</x:f>
      </x:c>
      <x:c r="W3" s="84" t="str">
        <x:f>IF(COUNTA('📥 DADOS BRUTOS'!B3)=0,"",'🌀 IPS-20 Scores'!I3)</x:f>
      </x:c>
      <x:c r="X3" s="84" t="str">
        <x:f>IF(COUNTA('📥 DADOS BRUTOS'!B3)=0,"",'🌀 IPS-20 Scores'!J3)</x:f>
      </x:c>
      <x:c r="Y3" s="30" t="str">
        <x:f>IF(COUNTA('📥 DADOS BRUTOS'!B3)=0,"",'🌀 IPS-20 Scores'!K3)</x:f>
      </x:c>
      <x:c r="Z3" s="84" t="str">
        <x:f>IF(COUNTA('📥 DADOS BRUTOS'!B3)=0,"",'💪 GSES Scores'!E3)</x:f>
      </x:c>
      <x:c r="AA3" s="30" t="str">
        <x:f>IF(COUNTA('📥 DADOS BRUTOS'!B3)=0,"",'💪 GSES Scores'!F3)</x:f>
      </x:c>
      <x:c r="AB3" t="str">
        <x:f>IF(A3="","",COUNTIF($A$2:A3,A3))</x:f>
      </x:c>
      <x:c r="AC3" t="str">
        <x:f t="shared" si="0">IF(A3="","",A3&amp;"|"&amp;AB3)</x:f>
      </x:c>
    </x:row>
    <x:row r="4" ht="18" customHeight="1">
      <x:c r="A4" s="26" t="str">
        <x:f>IF(COUNTA('📥 DADOS BRUTOS'!B4)=0,"",'📥 DADOS BRUTOS'!B4)</x:f>
      </x:c>
      <x:c r="B4" s="26" t="str">
        <x:f>IF(COUNTA('📥 DADOS BRUTOS'!B4)=0,"",'📥 DADOS BRUTOS'!C4)</x:f>
      </x:c>
      <x:c r="C4" s="26" t="str">
        <x:f>IF(COUNTA('📥 DADOS BRUTOS'!B4)=0,"",'📥 DADOS BRUTOS'!D4)</x:f>
      </x:c>
      <x:c r="D4" s="36" t="str">
        <x:f>IF(COUNTA('📥 DADOS BRUTOS'!B4)=0,"",'🧮 MAIA-2 Scores'!E4)</x:f>
      </x:c>
      <x:c r="E4" s="36" t="str">
        <x:f>IF(COUNTA('📥 DADOS BRUTOS'!B4)=0,"",'🧮 MAIA-2 Scores'!F4)</x:f>
      </x:c>
      <x:c r="F4" s="36" t="str">
        <x:f>IF(COUNTA('📥 DADOS BRUTOS'!B4)=0,"",'🧮 MAIA-2 Scores'!G4)</x:f>
      </x:c>
      <x:c r="G4" s="36" t="str">
        <x:f>IF(COUNTA('📥 DADOS BRUTOS'!B4)=0,"",'🧮 MAIA-2 Scores'!H4)</x:f>
      </x:c>
      <x:c r="H4" s="36" t="str">
        <x:f>IF(COUNTA('📥 DADOS BRUTOS'!B4)=0,"",'🧮 MAIA-2 Scores'!I4)</x:f>
      </x:c>
      <x:c r="I4" s="36" t="str">
        <x:f>IF(COUNTA('📥 DADOS BRUTOS'!B4)=0,"",'🧮 MAIA-2 Scores'!J4)</x:f>
      </x:c>
      <x:c r="J4" s="36" t="str">
        <x:f>IF(COUNTA('📥 DADOS BRUTOS'!B4)=0,"",'🧮 MAIA-2 Scores'!K4)</x:f>
      </x:c>
      <x:c r="K4" s="36" t="str">
        <x:f>IF(COUNTA('📥 DADOS BRUTOS'!B4)=0,"",'🧮 MAIA-2 Scores'!L4)</x:f>
      </x:c>
      <x:c r="L4" s="36" t="str">
        <x:f>IF(COUNTA('📥 DADOS BRUTOS'!B4)=0,"",'🧮 MAIA-2 Scores'!M4)</x:f>
      </x:c>
      <x:c r="M4" s="36" t="str">
        <x:f>IF(COUNTA('📥 DADOS BRUTOS'!B4)=0,"",'🧠 FFMQ Scores'!E4)</x:f>
      </x:c>
      <x:c r="N4" s="36" t="str">
        <x:f>IF(COUNTA('📥 DADOS BRUTOS'!B4)=0,"",'🧠 FFMQ Scores'!F4)</x:f>
      </x:c>
      <x:c r="O4" s="36" t="str">
        <x:f>IF(COUNTA('📥 DADOS BRUTOS'!B4)=0,"",'🧠 FFMQ Scores'!G4)</x:f>
      </x:c>
      <x:c r="P4" s="36" t="str">
        <x:f>IF(COUNTA('📥 DADOS BRUTOS'!B4)=0,"",'🧠 FFMQ Scores'!H4)</x:f>
      </x:c>
      <x:c r="Q4" s="36" t="str">
        <x:f>IF(COUNTA('📥 DADOS BRUTOS'!B4)=0,"",'🧠 FFMQ Scores'!I4)</x:f>
      </x:c>
      <x:c r="R4" s="36" t="str">
        <x:f>IF(COUNTA('📥 DADOS BRUTOS'!B4)=0,"",'🧠 FFMQ Scores'!J4)</x:f>
      </x:c>
      <x:c r="S4" s="36" t="str">
        <x:f>IF(COUNTA('📥 DADOS BRUTOS'!B4)=0,"",'🌀 IPS-20 Scores'!E4)</x:f>
      </x:c>
      <x:c r="T4" s="36" t="str">
        <x:f>IF(COUNTA('📥 DADOS BRUTOS'!B4)=0,"",'🌀 IPS-20 Scores'!F4)</x:f>
      </x:c>
      <x:c r="U4" s="36" t="str">
        <x:f>IF(COUNTA('📥 DADOS BRUTOS'!B4)=0,"",'🌀 IPS-20 Scores'!G4)</x:f>
      </x:c>
      <x:c r="V4" s="36" t="str">
        <x:f>IF(COUNTA('📥 DADOS BRUTOS'!B4)=0,"",'🌀 IPS-20 Scores'!H4)</x:f>
      </x:c>
      <x:c r="W4" s="36" t="str">
        <x:f>IF(COUNTA('📥 DADOS BRUTOS'!B4)=0,"",'🌀 IPS-20 Scores'!I4)</x:f>
      </x:c>
      <x:c r="X4" s="36" t="str">
        <x:f>IF(COUNTA('📥 DADOS BRUTOS'!B4)=0,"",'🌀 IPS-20 Scores'!J4)</x:f>
      </x:c>
      <x:c r="Y4" s="26" t="str">
        <x:f>IF(COUNTA('📥 DADOS BRUTOS'!B4)=0,"",'🌀 IPS-20 Scores'!K4)</x:f>
      </x:c>
      <x:c r="Z4" s="36" t="str">
        <x:f>IF(COUNTA('📥 DADOS BRUTOS'!B4)=0,"",'💪 GSES Scores'!E4)</x:f>
      </x:c>
      <x:c r="AA4" s="26" t="str">
        <x:f>IF(COUNTA('📥 DADOS BRUTOS'!B4)=0,"",'💪 GSES Scores'!F4)</x:f>
      </x:c>
      <x:c r="AB4" t="str">
        <x:f>IF(A4="","",COUNTIF($A$2:A4,A4))</x:f>
      </x:c>
      <x:c r="AC4" t="str">
        <x:f t="shared" si="0">IF(A4="","",A4&amp;"|"&amp;AB4)</x:f>
      </x:c>
    </x:row>
    <x:row r="5" ht="18" customHeight="1">
      <x:c r="A5" s="30" t="str">
        <x:f>IF(COUNTA('📥 DADOS BRUTOS'!B5)=0,"",'📥 DADOS BRUTOS'!B5)</x:f>
      </x:c>
      <x:c r="B5" s="30" t="str">
        <x:f>IF(COUNTA('📥 DADOS BRUTOS'!B5)=0,"",'📥 DADOS BRUTOS'!C5)</x:f>
      </x:c>
      <x:c r="C5" s="30" t="str">
        <x:f>IF(COUNTA('📥 DADOS BRUTOS'!B5)=0,"",'📥 DADOS BRUTOS'!D5)</x:f>
      </x:c>
      <x:c r="D5" s="84" t="str">
        <x:f>IF(COUNTA('📥 DADOS BRUTOS'!B5)=0,"",'🧮 MAIA-2 Scores'!E5)</x:f>
      </x:c>
      <x:c r="E5" s="84" t="str">
        <x:f>IF(COUNTA('📥 DADOS BRUTOS'!B5)=0,"",'🧮 MAIA-2 Scores'!F5)</x:f>
      </x:c>
      <x:c r="F5" s="84" t="str">
        <x:f>IF(COUNTA('📥 DADOS BRUTOS'!B5)=0,"",'🧮 MAIA-2 Scores'!G5)</x:f>
      </x:c>
      <x:c r="G5" s="84" t="str">
        <x:f>IF(COUNTA('📥 DADOS BRUTOS'!B5)=0,"",'🧮 MAIA-2 Scores'!H5)</x:f>
      </x:c>
      <x:c r="H5" s="84" t="str">
        <x:f>IF(COUNTA('📥 DADOS BRUTOS'!B5)=0,"",'🧮 MAIA-2 Scores'!I5)</x:f>
      </x:c>
      <x:c r="I5" s="84" t="str">
        <x:f>IF(COUNTA('📥 DADOS BRUTOS'!B5)=0,"",'🧮 MAIA-2 Scores'!J5)</x:f>
      </x:c>
      <x:c r="J5" s="84" t="str">
        <x:f>IF(COUNTA('📥 DADOS BRUTOS'!B5)=0,"",'🧮 MAIA-2 Scores'!K5)</x:f>
      </x:c>
      <x:c r="K5" s="84" t="str">
        <x:f>IF(COUNTA('📥 DADOS BRUTOS'!B5)=0,"",'🧮 MAIA-2 Scores'!L5)</x:f>
      </x:c>
      <x:c r="L5" s="84" t="str">
        <x:f>IF(COUNTA('📥 DADOS BRUTOS'!B5)=0,"",'🧮 MAIA-2 Scores'!M5)</x:f>
      </x:c>
      <x:c r="M5" s="84" t="str">
        <x:f>IF(COUNTA('📥 DADOS BRUTOS'!B5)=0,"",'🧠 FFMQ Scores'!E5)</x:f>
      </x:c>
      <x:c r="N5" s="84" t="str">
        <x:f>IF(COUNTA('📥 DADOS BRUTOS'!B5)=0,"",'🧠 FFMQ Scores'!F5)</x:f>
      </x:c>
      <x:c r="O5" s="84" t="str">
        <x:f>IF(COUNTA('📥 DADOS BRUTOS'!B5)=0,"",'🧠 FFMQ Scores'!G5)</x:f>
      </x:c>
      <x:c r="P5" s="84" t="str">
        <x:f>IF(COUNTA('📥 DADOS BRUTOS'!B5)=0,"",'🧠 FFMQ Scores'!H5)</x:f>
      </x:c>
      <x:c r="Q5" s="84" t="str">
        <x:f>IF(COUNTA('📥 DADOS BRUTOS'!B5)=0,"",'🧠 FFMQ Scores'!I5)</x:f>
      </x:c>
      <x:c r="R5" s="84" t="str">
        <x:f>IF(COUNTA('📥 DADOS BRUTOS'!B5)=0,"",'🧠 FFMQ Scores'!J5)</x:f>
      </x:c>
      <x:c r="S5" s="84" t="str">
        <x:f>IF(COUNTA('📥 DADOS BRUTOS'!B5)=0,"",'🌀 IPS-20 Scores'!E5)</x:f>
      </x:c>
      <x:c r="T5" s="84" t="str">
        <x:f>IF(COUNTA('📥 DADOS BRUTOS'!B5)=0,"",'🌀 IPS-20 Scores'!F5)</x:f>
      </x:c>
      <x:c r="U5" s="84" t="str">
        <x:f>IF(COUNTA('📥 DADOS BRUTOS'!B5)=0,"",'🌀 IPS-20 Scores'!G5)</x:f>
      </x:c>
      <x:c r="V5" s="84" t="str">
        <x:f>IF(COUNTA('📥 DADOS BRUTOS'!B5)=0,"",'🌀 IPS-20 Scores'!H5)</x:f>
      </x:c>
      <x:c r="W5" s="84" t="str">
        <x:f>IF(COUNTA('📥 DADOS BRUTOS'!B5)=0,"",'🌀 IPS-20 Scores'!I5)</x:f>
      </x:c>
      <x:c r="X5" s="84" t="str">
        <x:f>IF(COUNTA('📥 DADOS BRUTOS'!B5)=0,"",'🌀 IPS-20 Scores'!J5)</x:f>
      </x:c>
      <x:c r="Y5" s="30" t="str">
        <x:f>IF(COUNTA('📥 DADOS BRUTOS'!B5)=0,"",'🌀 IPS-20 Scores'!K5)</x:f>
      </x:c>
      <x:c r="Z5" s="84" t="str">
        <x:f>IF(COUNTA('📥 DADOS BRUTOS'!B5)=0,"",'💪 GSES Scores'!E5)</x:f>
      </x:c>
      <x:c r="AA5" s="30" t="str">
        <x:f>IF(COUNTA('📥 DADOS BRUTOS'!B5)=0,"",'💪 GSES Scores'!F5)</x:f>
      </x:c>
      <x:c r="AB5" t="str">
        <x:f>IF(A5="","",COUNTIF($A$2:A5,A5))</x:f>
      </x:c>
      <x:c r="AC5" t="str">
        <x:f t="shared" si="0">IF(A5="","",A5&amp;"|"&amp;AB5)</x:f>
      </x:c>
    </x:row>
    <x:row r="6" ht="18" customHeight="1">
      <x:c r="A6" s="26" t="str">
        <x:f>IF(COUNTA('📥 DADOS BRUTOS'!B6)=0,"",'📥 DADOS BRUTOS'!B6)</x:f>
      </x:c>
      <x:c r="B6" s="26" t="str">
        <x:f>IF(COUNTA('📥 DADOS BRUTOS'!B6)=0,"",'📥 DADOS BRUTOS'!C6)</x:f>
      </x:c>
      <x:c r="C6" s="26" t="str">
        <x:f>IF(COUNTA('📥 DADOS BRUTOS'!B6)=0,"",'📥 DADOS BRUTOS'!D6)</x:f>
      </x:c>
      <x:c r="D6" s="36" t="str">
        <x:f>IF(COUNTA('📥 DADOS BRUTOS'!B6)=0,"",'🧮 MAIA-2 Scores'!E6)</x:f>
      </x:c>
      <x:c r="E6" s="36" t="str">
        <x:f>IF(COUNTA('📥 DADOS BRUTOS'!B6)=0,"",'🧮 MAIA-2 Scores'!F6)</x:f>
      </x:c>
      <x:c r="F6" s="36" t="str">
        <x:f>IF(COUNTA('📥 DADOS BRUTOS'!B6)=0,"",'🧮 MAIA-2 Scores'!G6)</x:f>
      </x:c>
      <x:c r="G6" s="36" t="str">
        <x:f>IF(COUNTA('📥 DADOS BRUTOS'!B6)=0,"",'🧮 MAIA-2 Scores'!H6)</x:f>
      </x:c>
      <x:c r="H6" s="36" t="str">
        <x:f>IF(COUNTA('📥 DADOS BRUTOS'!B6)=0,"",'🧮 MAIA-2 Scores'!I6)</x:f>
      </x:c>
      <x:c r="I6" s="36" t="str">
        <x:f>IF(COUNTA('📥 DADOS BRUTOS'!B6)=0,"",'🧮 MAIA-2 Scores'!J6)</x:f>
      </x:c>
      <x:c r="J6" s="36" t="str">
        <x:f>IF(COUNTA('📥 DADOS BRUTOS'!B6)=0,"",'🧮 MAIA-2 Scores'!K6)</x:f>
      </x:c>
      <x:c r="K6" s="36" t="str">
        <x:f>IF(COUNTA('📥 DADOS BRUTOS'!B6)=0,"",'🧮 MAIA-2 Scores'!L6)</x:f>
      </x:c>
      <x:c r="L6" s="36" t="str">
        <x:f>IF(COUNTA('📥 DADOS BRUTOS'!B6)=0,"",'🧮 MAIA-2 Scores'!M6)</x:f>
      </x:c>
      <x:c r="M6" s="36" t="str">
        <x:f>IF(COUNTA('📥 DADOS BRUTOS'!B6)=0,"",'🧠 FFMQ Scores'!E6)</x:f>
      </x:c>
      <x:c r="N6" s="36" t="str">
        <x:f>IF(COUNTA('📥 DADOS BRUTOS'!B6)=0,"",'🧠 FFMQ Scores'!F6)</x:f>
      </x:c>
      <x:c r="O6" s="36" t="str">
        <x:f>IF(COUNTA('📥 DADOS BRUTOS'!B6)=0,"",'🧠 FFMQ Scores'!G6)</x:f>
      </x:c>
      <x:c r="P6" s="36" t="str">
        <x:f>IF(COUNTA('📥 DADOS BRUTOS'!B6)=0,"",'🧠 FFMQ Scores'!H6)</x:f>
      </x:c>
      <x:c r="Q6" s="36" t="str">
        <x:f>IF(COUNTA('📥 DADOS BRUTOS'!B6)=0,"",'🧠 FFMQ Scores'!I6)</x:f>
      </x:c>
      <x:c r="R6" s="36" t="str">
        <x:f>IF(COUNTA('📥 DADOS BRUTOS'!B6)=0,"",'🧠 FFMQ Scores'!J6)</x:f>
      </x:c>
      <x:c r="S6" s="36" t="str">
        <x:f>IF(COUNTA('📥 DADOS BRUTOS'!B6)=0,"",'🌀 IPS-20 Scores'!E6)</x:f>
      </x:c>
      <x:c r="T6" s="36" t="str">
        <x:f>IF(COUNTA('📥 DADOS BRUTOS'!B6)=0,"",'🌀 IPS-20 Scores'!F6)</x:f>
      </x:c>
      <x:c r="U6" s="36" t="str">
        <x:f>IF(COUNTA('📥 DADOS BRUTOS'!B6)=0,"",'🌀 IPS-20 Scores'!G6)</x:f>
      </x:c>
      <x:c r="V6" s="36" t="str">
        <x:f>IF(COUNTA('📥 DADOS BRUTOS'!B6)=0,"",'🌀 IPS-20 Scores'!H6)</x:f>
      </x:c>
      <x:c r="W6" s="36" t="str">
        <x:f>IF(COUNTA('📥 DADOS BRUTOS'!B6)=0,"",'🌀 IPS-20 Scores'!I6)</x:f>
      </x:c>
      <x:c r="X6" s="36" t="str">
        <x:f>IF(COUNTA('📥 DADOS BRUTOS'!B6)=0,"",'🌀 IPS-20 Scores'!J6)</x:f>
      </x:c>
      <x:c r="Y6" s="26" t="str">
        <x:f>IF(COUNTA('📥 DADOS BRUTOS'!B6)=0,"",'🌀 IPS-20 Scores'!K6)</x:f>
      </x:c>
      <x:c r="Z6" s="36" t="str">
        <x:f>IF(COUNTA('📥 DADOS BRUTOS'!B6)=0,"",'💪 GSES Scores'!E6)</x:f>
      </x:c>
      <x:c r="AA6" s="26" t="str">
        <x:f>IF(COUNTA('📥 DADOS BRUTOS'!B6)=0,"",'💪 GSES Scores'!F6)</x:f>
      </x:c>
      <x:c r="AB6" t="str">
        <x:f>IF(A6="","",COUNTIF($A$2:A6,A6))</x:f>
      </x:c>
      <x:c r="AC6" t="str">
        <x:f t="shared" si="0">IF(A6="","",A6&amp;"|"&amp;AB6)</x:f>
      </x:c>
    </x:row>
    <x:row r="7" ht="18" customHeight="1">
      <x:c r="A7" s="30" t="str">
        <x:f>IF(COUNTA('📥 DADOS BRUTOS'!B7)=0,"",'📥 DADOS BRUTOS'!B7)</x:f>
      </x:c>
      <x:c r="B7" s="30" t="str">
        <x:f>IF(COUNTA('📥 DADOS BRUTOS'!B7)=0,"",'📥 DADOS BRUTOS'!C7)</x:f>
      </x:c>
      <x:c r="C7" s="30" t="str">
        <x:f>IF(COUNTA('📥 DADOS BRUTOS'!B7)=0,"",'📥 DADOS BRUTOS'!D7)</x:f>
      </x:c>
      <x:c r="D7" s="84" t="str">
        <x:f>IF(COUNTA('📥 DADOS BRUTOS'!B7)=0,"",'🧮 MAIA-2 Scores'!E7)</x:f>
      </x:c>
      <x:c r="E7" s="84" t="str">
        <x:f>IF(COUNTA('📥 DADOS BRUTOS'!B7)=0,"",'🧮 MAIA-2 Scores'!F7)</x:f>
      </x:c>
      <x:c r="F7" s="84" t="str">
        <x:f>IF(COUNTA('📥 DADOS BRUTOS'!B7)=0,"",'🧮 MAIA-2 Scores'!G7)</x:f>
      </x:c>
      <x:c r="G7" s="84" t="str">
        <x:f>IF(COUNTA('📥 DADOS BRUTOS'!B7)=0,"",'🧮 MAIA-2 Scores'!H7)</x:f>
      </x:c>
      <x:c r="H7" s="84" t="str">
        <x:f>IF(COUNTA('📥 DADOS BRUTOS'!B7)=0,"",'🧮 MAIA-2 Scores'!I7)</x:f>
      </x:c>
      <x:c r="I7" s="84" t="str">
        <x:f>IF(COUNTA('📥 DADOS BRUTOS'!B7)=0,"",'🧮 MAIA-2 Scores'!J7)</x:f>
      </x:c>
      <x:c r="J7" s="84" t="str">
        <x:f>IF(COUNTA('📥 DADOS BRUTOS'!B7)=0,"",'🧮 MAIA-2 Scores'!K7)</x:f>
      </x:c>
      <x:c r="K7" s="84" t="str">
        <x:f>IF(COUNTA('📥 DADOS BRUTOS'!B7)=0,"",'🧮 MAIA-2 Scores'!L7)</x:f>
      </x:c>
      <x:c r="L7" s="84" t="str">
        <x:f>IF(COUNTA('📥 DADOS BRUTOS'!B7)=0,"",'🧮 MAIA-2 Scores'!M7)</x:f>
      </x:c>
      <x:c r="M7" s="84" t="str">
        <x:f>IF(COUNTA('📥 DADOS BRUTOS'!B7)=0,"",'🧠 FFMQ Scores'!E7)</x:f>
      </x:c>
      <x:c r="N7" s="84" t="str">
        <x:f>IF(COUNTA('📥 DADOS BRUTOS'!B7)=0,"",'🧠 FFMQ Scores'!F7)</x:f>
      </x:c>
      <x:c r="O7" s="84" t="str">
        <x:f>IF(COUNTA('📥 DADOS BRUTOS'!B7)=0,"",'🧠 FFMQ Scores'!G7)</x:f>
      </x:c>
      <x:c r="P7" s="84" t="str">
        <x:f>IF(COUNTA('📥 DADOS BRUTOS'!B7)=0,"",'🧠 FFMQ Scores'!H7)</x:f>
      </x:c>
      <x:c r="Q7" s="84" t="str">
        <x:f>IF(COUNTA('📥 DADOS BRUTOS'!B7)=0,"",'🧠 FFMQ Scores'!I7)</x:f>
      </x:c>
      <x:c r="R7" s="84" t="str">
        <x:f>IF(COUNTA('📥 DADOS BRUTOS'!B7)=0,"",'🧠 FFMQ Scores'!J7)</x:f>
      </x:c>
      <x:c r="S7" s="84" t="str">
        <x:f>IF(COUNTA('📥 DADOS BRUTOS'!B7)=0,"",'🌀 IPS-20 Scores'!E7)</x:f>
      </x:c>
      <x:c r="T7" s="84" t="str">
        <x:f>IF(COUNTA('📥 DADOS BRUTOS'!B7)=0,"",'🌀 IPS-20 Scores'!F7)</x:f>
      </x:c>
      <x:c r="U7" s="84" t="str">
        <x:f>IF(COUNTA('📥 DADOS BRUTOS'!B7)=0,"",'🌀 IPS-20 Scores'!G7)</x:f>
      </x:c>
      <x:c r="V7" s="84" t="str">
        <x:f>IF(COUNTA('📥 DADOS BRUTOS'!B7)=0,"",'🌀 IPS-20 Scores'!H7)</x:f>
      </x:c>
      <x:c r="W7" s="84" t="str">
        <x:f>IF(COUNTA('📥 DADOS BRUTOS'!B7)=0,"",'🌀 IPS-20 Scores'!I7)</x:f>
      </x:c>
      <x:c r="X7" s="84" t="str">
        <x:f>IF(COUNTA('📥 DADOS BRUTOS'!B7)=0,"",'🌀 IPS-20 Scores'!J7)</x:f>
      </x:c>
      <x:c r="Y7" s="30" t="str">
        <x:f>IF(COUNTA('📥 DADOS BRUTOS'!B7)=0,"",'🌀 IPS-20 Scores'!K7)</x:f>
      </x:c>
      <x:c r="Z7" s="84" t="str">
        <x:f>IF(COUNTA('📥 DADOS BRUTOS'!B7)=0,"",'💪 GSES Scores'!E7)</x:f>
      </x:c>
      <x:c r="AA7" s="30" t="str">
        <x:f>IF(COUNTA('📥 DADOS BRUTOS'!B7)=0,"",'💪 GSES Scores'!F7)</x:f>
      </x:c>
      <x:c r="AB7" t="str">
        <x:f>IF(A7="","",COUNTIF($A$2:A7,A7))</x:f>
      </x:c>
      <x:c r="AC7" t="str">
        <x:f t="shared" si="0">IF(A7="","",A7&amp;"|"&amp;AB7)</x:f>
      </x:c>
    </x:row>
    <x:row r="8" ht="18" customHeight="1">
      <x:c r="A8" s="26" t="str">
        <x:f>IF(COUNTA('📥 DADOS BRUTOS'!B8)=0,"",'📥 DADOS BRUTOS'!B8)</x:f>
      </x:c>
      <x:c r="B8" s="26" t="str">
        <x:f>IF(COUNTA('📥 DADOS BRUTOS'!B8)=0,"",'📥 DADOS BRUTOS'!C8)</x:f>
      </x:c>
      <x:c r="C8" s="26" t="str">
        <x:f>IF(COUNTA('📥 DADOS BRUTOS'!B8)=0,"",'📥 DADOS BRUTOS'!D8)</x:f>
      </x:c>
      <x:c r="D8" s="36" t="str">
        <x:f>IF(COUNTA('📥 DADOS BRUTOS'!B8)=0,"",'🧮 MAIA-2 Scores'!E8)</x:f>
      </x:c>
      <x:c r="E8" s="36" t="str">
        <x:f>IF(COUNTA('📥 DADOS BRUTOS'!B8)=0,"",'🧮 MAIA-2 Scores'!F8)</x:f>
      </x:c>
      <x:c r="F8" s="36" t="str">
        <x:f>IF(COUNTA('📥 DADOS BRUTOS'!B8)=0,"",'🧮 MAIA-2 Scores'!G8)</x:f>
      </x:c>
      <x:c r="G8" s="36" t="str">
        <x:f>IF(COUNTA('📥 DADOS BRUTOS'!B8)=0,"",'🧮 MAIA-2 Scores'!H8)</x:f>
      </x:c>
      <x:c r="H8" s="36" t="str">
        <x:f>IF(COUNTA('📥 DADOS BRUTOS'!B8)=0,"",'🧮 MAIA-2 Scores'!I8)</x:f>
      </x:c>
      <x:c r="I8" s="36" t="str">
        <x:f>IF(COUNTA('📥 DADOS BRUTOS'!B8)=0,"",'🧮 MAIA-2 Scores'!J8)</x:f>
      </x:c>
      <x:c r="J8" s="36" t="str">
        <x:f>IF(COUNTA('📥 DADOS BRUTOS'!B8)=0,"",'🧮 MAIA-2 Scores'!K8)</x:f>
      </x:c>
      <x:c r="K8" s="36" t="str">
        <x:f>IF(COUNTA('📥 DADOS BRUTOS'!B8)=0,"",'🧮 MAIA-2 Scores'!L8)</x:f>
      </x:c>
      <x:c r="L8" s="36" t="str">
        <x:f>IF(COUNTA('📥 DADOS BRUTOS'!B8)=0,"",'🧮 MAIA-2 Scores'!M8)</x:f>
      </x:c>
      <x:c r="M8" s="36" t="str">
        <x:f>IF(COUNTA('📥 DADOS BRUTOS'!B8)=0,"",'🧠 FFMQ Scores'!E8)</x:f>
      </x:c>
      <x:c r="N8" s="36" t="str">
        <x:f>IF(COUNTA('📥 DADOS BRUTOS'!B8)=0,"",'🧠 FFMQ Scores'!F8)</x:f>
      </x:c>
      <x:c r="O8" s="36" t="str">
        <x:f>IF(COUNTA('📥 DADOS BRUTOS'!B8)=0,"",'🧠 FFMQ Scores'!G8)</x:f>
      </x:c>
      <x:c r="P8" s="36" t="str">
        <x:f>IF(COUNTA('📥 DADOS BRUTOS'!B8)=0,"",'🧠 FFMQ Scores'!H8)</x:f>
      </x:c>
      <x:c r="Q8" s="36" t="str">
        <x:f>IF(COUNTA('📥 DADOS BRUTOS'!B8)=0,"",'🧠 FFMQ Scores'!I8)</x:f>
      </x:c>
      <x:c r="R8" s="36" t="str">
        <x:f>IF(COUNTA('📥 DADOS BRUTOS'!B8)=0,"",'🧠 FFMQ Scores'!J8)</x:f>
      </x:c>
      <x:c r="S8" s="36" t="str">
        <x:f>IF(COUNTA('📥 DADOS BRUTOS'!B8)=0,"",'🌀 IPS-20 Scores'!E8)</x:f>
      </x:c>
      <x:c r="T8" s="36" t="str">
        <x:f>IF(COUNTA('📥 DADOS BRUTOS'!B8)=0,"",'🌀 IPS-20 Scores'!F8)</x:f>
      </x:c>
      <x:c r="U8" s="36" t="str">
        <x:f>IF(COUNTA('📥 DADOS BRUTOS'!B8)=0,"",'🌀 IPS-20 Scores'!G8)</x:f>
      </x:c>
      <x:c r="V8" s="36" t="str">
        <x:f>IF(COUNTA('📥 DADOS BRUTOS'!B8)=0,"",'🌀 IPS-20 Scores'!H8)</x:f>
      </x:c>
      <x:c r="W8" s="36" t="str">
        <x:f>IF(COUNTA('📥 DADOS BRUTOS'!B8)=0,"",'🌀 IPS-20 Scores'!I8)</x:f>
      </x:c>
      <x:c r="X8" s="36" t="str">
        <x:f>IF(COUNTA('📥 DADOS BRUTOS'!B8)=0,"",'🌀 IPS-20 Scores'!J8)</x:f>
      </x:c>
      <x:c r="Y8" s="26" t="str">
        <x:f>IF(COUNTA('📥 DADOS BRUTOS'!B8)=0,"",'🌀 IPS-20 Scores'!K8)</x:f>
      </x:c>
      <x:c r="Z8" s="36" t="str">
        <x:f>IF(COUNTA('📥 DADOS BRUTOS'!B8)=0,"",'💪 GSES Scores'!E8)</x:f>
      </x:c>
      <x:c r="AA8" s="26" t="str">
        <x:f>IF(COUNTA('📥 DADOS BRUTOS'!B8)=0,"",'💪 GSES Scores'!F8)</x:f>
      </x:c>
      <x:c r="AB8" t="str">
        <x:f>IF(A8="","",COUNTIF($A$2:A8,A8))</x:f>
      </x:c>
      <x:c r="AC8" t="str">
        <x:f t="shared" si="0">IF(A8="","",A8&amp;"|"&amp;AB8)</x:f>
      </x:c>
    </x:row>
    <x:row r="9" ht="18" customHeight="1">
      <x:c r="A9" s="30" t="str">
        <x:f>IF(COUNTA('📥 DADOS BRUTOS'!B9)=0,"",'📥 DADOS BRUTOS'!B9)</x:f>
      </x:c>
      <x:c r="B9" s="30" t="str">
        <x:f>IF(COUNTA('📥 DADOS BRUTOS'!B9)=0,"",'📥 DADOS BRUTOS'!C9)</x:f>
      </x:c>
      <x:c r="C9" s="30" t="str">
        <x:f>IF(COUNTA('📥 DADOS BRUTOS'!B9)=0,"",'📥 DADOS BRUTOS'!D9)</x:f>
      </x:c>
      <x:c r="D9" s="84" t="str">
        <x:f>IF(COUNTA('📥 DADOS BRUTOS'!B9)=0,"",'🧮 MAIA-2 Scores'!E9)</x:f>
      </x:c>
      <x:c r="E9" s="84" t="str">
        <x:f>IF(COUNTA('📥 DADOS BRUTOS'!B9)=0,"",'🧮 MAIA-2 Scores'!F9)</x:f>
      </x:c>
      <x:c r="F9" s="84" t="str">
        <x:f>IF(COUNTA('📥 DADOS BRUTOS'!B9)=0,"",'🧮 MAIA-2 Scores'!G9)</x:f>
      </x:c>
      <x:c r="G9" s="84" t="str">
        <x:f>IF(COUNTA('📥 DADOS BRUTOS'!B9)=0,"",'🧮 MAIA-2 Scores'!H9)</x:f>
      </x:c>
      <x:c r="H9" s="84" t="str">
        <x:f>IF(COUNTA('📥 DADOS BRUTOS'!B9)=0,"",'🧮 MAIA-2 Scores'!I9)</x:f>
      </x:c>
      <x:c r="I9" s="84" t="str">
        <x:f>IF(COUNTA('📥 DADOS BRUTOS'!B9)=0,"",'🧮 MAIA-2 Scores'!J9)</x:f>
      </x:c>
      <x:c r="J9" s="84" t="str">
        <x:f>IF(COUNTA('📥 DADOS BRUTOS'!B9)=0,"",'🧮 MAIA-2 Scores'!K9)</x:f>
      </x:c>
      <x:c r="K9" s="84" t="str">
        <x:f>IF(COUNTA('📥 DADOS BRUTOS'!B9)=0,"",'🧮 MAIA-2 Scores'!L9)</x:f>
      </x:c>
      <x:c r="L9" s="84" t="str">
        <x:f>IF(COUNTA('📥 DADOS BRUTOS'!B9)=0,"",'🧮 MAIA-2 Scores'!M9)</x:f>
      </x:c>
      <x:c r="M9" s="84" t="str">
        <x:f>IF(COUNTA('📥 DADOS BRUTOS'!B9)=0,"",'🧠 FFMQ Scores'!E9)</x:f>
      </x:c>
      <x:c r="N9" s="84" t="str">
        <x:f>IF(COUNTA('📥 DADOS BRUTOS'!B9)=0,"",'🧠 FFMQ Scores'!F9)</x:f>
      </x:c>
      <x:c r="O9" s="84" t="str">
        <x:f>IF(COUNTA('📥 DADOS BRUTOS'!B9)=0,"",'🧠 FFMQ Scores'!G9)</x:f>
      </x:c>
      <x:c r="P9" s="84" t="str">
        <x:f>IF(COUNTA('📥 DADOS BRUTOS'!B9)=0,"",'🧠 FFMQ Scores'!H9)</x:f>
      </x:c>
      <x:c r="Q9" s="84" t="str">
        <x:f>IF(COUNTA('📥 DADOS BRUTOS'!B9)=0,"",'🧠 FFMQ Scores'!I9)</x:f>
      </x:c>
      <x:c r="R9" s="84" t="str">
        <x:f>IF(COUNTA('📥 DADOS BRUTOS'!B9)=0,"",'🧠 FFMQ Scores'!J9)</x:f>
      </x:c>
      <x:c r="S9" s="84" t="str">
        <x:f>IF(COUNTA('📥 DADOS BRUTOS'!B9)=0,"",'🌀 IPS-20 Scores'!E9)</x:f>
      </x:c>
      <x:c r="T9" s="84" t="str">
        <x:f>IF(COUNTA('📥 DADOS BRUTOS'!B9)=0,"",'🌀 IPS-20 Scores'!F9)</x:f>
      </x:c>
      <x:c r="U9" s="84" t="str">
        <x:f>IF(COUNTA('📥 DADOS BRUTOS'!B9)=0,"",'🌀 IPS-20 Scores'!G9)</x:f>
      </x:c>
      <x:c r="V9" s="84" t="str">
        <x:f>IF(COUNTA('📥 DADOS BRUTOS'!B9)=0,"",'🌀 IPS-20 Scores'!H9)</x:f>
      </x:c>
      <x:c r="W9" s="84" t="str">
        <x:f>IF(COUNTA('📥 DADOS BRUTOS'!B9)=0,"",'🌀 IPS-20 Scores'!I9)</x:f>
      </x:c>
      <x:c r="X9" s="84" t="str">
        <x:f>IF(COUNTA('📥 DADOS BRUTOS'!B9)=0,"",'🌀 IPS-20 Scores'!J9)</x:f>
      </x:c>
      <x:c r="Y9" s="30" t="str">
        <x:f>IF(COUNTA('📥 DADOS BRUTOS'!B9)=0,"",'🌀 IPS-20 Scores'!K9)</x:f>
      </x:c>
      <x:c r="Z9" s="84" t="str">
        <x:f>IF(COUNTA('📥 DADOS BRUTOS'!B9)=0,"",'💪 GSES Scores'!E9)</x:f>
      </x:c>
      <x:c r="AA9" s="30" t="str">
        <x:f>IF(COUNTA('📥 DADOS BRUTOS'!B9)=0,"",'💪 GSES Scores'!F9)</x:f>
      </x:c>
      <x:c r="AB9" t="str">
        <x:f>IF(A9="","",COUNTIF($A$2:A9,A9))</x:f>
      </x:c>
      <x:c r="AC9" t="str">
        <x:f t="shared" si="0">IF(A9="","",A9&amp;"|"&amp;AB9)</x:f>
      </x:c>
    </x:row>
    <x:row r="10" ht="18" customHeight="1">
      <x:c r="A10" s="26" t="str">
        <x:f>IF(COUNTA('📥 DADOS BRUTOS'!B10)=0,"",'📥 DADOS BRUTOS'!B10)</x:f>
      </x:c>
      <x:c r="B10" s="26" t="str">
        <x:f>IF(COUNTA('📥 DADOS BRUTOS'!B10)=0,"",'📥 DADOS BRUTOS'!C10)</x:f>
      </x:c>
      <x:c r="C10" s="26" t="str">
        <x:f>IF(COUNTA('📥 DADOS BRUTOS'!B10)=0,"",'📥 DADOS BRUTOS'!D10)</x:f>
      </x:c>
      <x:c r="D10" s="36" t="str">
        <x:f>IF(COUNTA('📥 DADOS BRUTOS'!B10)=0,"",'🧮 MAIA-2 Scores'!E10)</x:f>
      </x:c>
      <x:c r="E10" s="36" t="str">
        <x:f>IF(COUNTA('📥 DADOS BRUTOS'!B10)=0,"",'🧮 MAIA-2 Scores'!F10)</x:f>
      </x:c>
      <x:c r="F10" s="36" t="str">
        <x:f>IF(COUNTA('📥 DADOS BRUTOS'!B10)=0,"",'🧮 MAIA-2 Scores'!G10)</x:f>
      </x:c>
      <x:c r="G10" s="36" t="str">
        <x:f>IF(COUNTA('📥 DADOS BRUTOS'!B10)=0,"",'🧮 MAIA-2 Scores'!H10)</x:f>
      </x:c>
      <x:c r="H10" s="36" t="str">
        <x:f>IF(COUNTA('📥 DADOS BRUTOS'!B10)=0,"",'🧮 MAIA-2 Scores'!I10)</x:f>
      </x:c>
      <x:c r="I10" s="36" t="str">
        <x:f>IF(COUNTA('📥 DADOS BRUTOS'!B10)=0,"",'🧮 MAIA-2 Scores'!J10)</x:f>
      </x:c>
      <x:c r="J10" s="36" t="str">
        <x:f>IF(COUNTA('📥 DADOS BRUTOS'!B10)=0,"",'🧮 MAIA-2 Scores'!K10)</x:f>
      </x:c>
      <x:c r="K10" s="36" t="str">
        <x:f>IF(COUNTA('📥 DADOS BRUTOS'!B10)=0,"",'🧮 MAIA-2 Scores'!L10)</x:f>
      </x:c>
      <x:c r="L10" s="36" t="str">
        <x:f>IF(COUNTA('📥 DADOS BRUTOS'!B10)=0,"",'🧮 MAIA-2 Scores'!M10)</x:f>
      </x:c>
      <x:c r="M10" s="36" t="str">
        <x:f>IF(COUNTA('📥 DADOS BRUTOS'!B10)=0,"",'🧠 FFMQ Scores'!E10)</x:f>
      </x:c>
      <x:c r="N10" s="36" t="str">
        <x:f>IF(COUNTA('📥 DADOS BRUTOS'!B10)=0,"",'🧠 FFMQ Scores'!F10)</x:f>
      </x:c>
      <x:c r="O10" s="36" t="str">
        <x:f>IF(COUNTA('📥 DADOS BRUTOS'!B10)=0,"",'🧠 FFMQ Scores'!G10)</x:f>
      </x:c>
      <x:c r="P10" s="36" t="str">
        <x:f>IF(COUNTA('📥 DADOS BRUTOS'!B10)=0,"",'🧠 FFMQ Scores'!H10)</x:f>
      </x:c>
      <x:c r="Q10" s="36" t="str">
        <x:f>IF(COUNTA('📥 DADOS BRUTOS'!B10)=0,"",'🧠 FFMQ Scores'!I10)</x:f>
      </x:c>
      <x:c r="R10" s="36" t="str">
        <x:f>IF(COUNTA('📥 DADOS BRUTOS'!B10)=0,"",'🧠 FFMQ Scores'!J10)</x:f>
      </x:c>
      <x:c r="S10" s="36" t="str">
        <x:f>IF(COUNTA('📥 DADOS BRUTOS'!B10)=0,"",'🌀 IPS-20 Scores'!E10)</x:f>
      </x:c>
      <x:c r="T10" s="36" t="str">
        <x:f>IF(COUNTA('📥 DADOS BRUTOS'!B10)=0,"",'🌀 IPS-20 Scores'!F10)</x:f>
      </x:c>
      <x:c r="U10" s="36" t="str">
        <x:f>IF(COUNTA('📥 DADOS BRUTOS'!B10)=0,"",'🌀 IPS-20 Scores'!G10)</x:f>
      </x:c>
      <x:c r="V10" s="36" t="str">
        <x:f>IF(COUNTA('📥 DADOS BRUTOS'!B10)=0,"",'🌀 IPS-20 Scores'!H10)</x:f>
      </x:c>
      <x:c r="W10" s="36" t="str">
        <x:f>IF(COUNTA('📥 DADOS BRUTOS'!B10)=0,"",'🌀 IPS-20 Scores'!I10)</x:f>
      </x:c>
      <x:c r="X10" s="36" t="str">
        <x:f>IF(COUNTA('📥 DADOS BRUTOS'!B10)=0,"",'🌀 IPS-20 Scores'!J10)</x:f>
      </x:c>
      <x:c r="Y10" s="26" t="str">
        <x:f>IF(COUNTA('📥 DADOS BRUTOS'!B10)=0,"",'🌀 IPS-20 Scores'!K10)</x:f>
      </x:c>
      <x:c r="Z10" s="36" t="str">
        <x:f>IF(COUNTA('📥 DADOS BRUTOS'!B10)=0,"",'💪 GSES Scores'!E10)</x:f>
      </x:c>
      <x:c r="AA10" s="26" t="str">
        <x:f>IF(COUNTA('📥 DADOS BRUTOS'!B10)=0,"",'💪 GSES Scores'!F10)</x:f>
      </x:c>
      <x:c r="AB10" t="str">
        <x:f>IF(A10="","",COUNTIF($A$2:A10,A10))</x:f>
      </x:c>
      <x:c r="AC10" t="str">
        <x:f t="shared" si="0">IF(A10="","",A10&amp;"|"&amp;AB10)</x:f>
      </x:c>
    </x:row>
    <x:row r="11" ht="18" customHeight="1">
      <x:c r="A11" s="30" t="str">
        <x:f>IF(COUNTA('📥 DADOS BRUTOS'!B11)=0,"",'📥 DADOS BRUTOS'!B11)</x:f>
      </x:c>
      <x:c r="B11" s="30" t="str">
        <x:f>IF(COUNTA('📥 DADOS BRUTOS'!B11)=0,"",'📥 DADOS BRUTOS'!C11)</x:f>
      </x:c>
      <x:c r="C11" s="30" t="str">
        <x:f>IF(COUNTA('📥 DADOS BRUTOS'!B11)=0,"",'📥 DADOS BRUTOS'!D11)</x:f>
      </x:c>
      <x:c r="D11" s="84" t="str">
        <x:f>IF(COUNTA('📥 DADOS BRUTOS'!B11)=0,"",'🧮 MAIA-2 Scores'!E11)</x:f>
      </x:c>
      <x:c r="E11" s="84" t="str">
        <x:f>IF(COUNTA('📥 DADOS BRUTOS'!B11)=0,"",'🧮 MAIA-2 Scores'!F11)</x:f>
      </x:c>
      <x:c r="F11" s="84" t="str">
        <x:f>IF(COUNTA('📥 DADOS BRUTOS'!B11)=0,"",'🧮 MAIA-2 Scores'!G11)</x:f>
      </x:c>
      <x:c r="G11" s="84" t="str">
        <x:f>IF(COUNTA('📥 DADOS BRUTOS'!B11)=0,"",'🧮 MAIA-2 Scores'!H11)</x:f>
      </x:c>
      <x:c r="H11" s="84" t="str">
        <x:f>IF(COUNTA('📥 DADOS BRUTOS'!B11)=0,"",'🧮 MAIA-2 Scores'!I11)</x:f>
      </x:c>
      <x:c r="I11" s="84" t="str">
        <x:f>IF(COUNTA('📥 DADOS BRUTOS'!B11)=0,"",'🧮 MAIA-2 Scores'!J11)</x:f>
      </x:c>
      <x:c r="J11" s="84" t="str">
        <x:f>IF(COUNTA('📥 DADOS BRUTOS'!B11)=0,"",'🧮 MAIA-2 Scores'!K11)</x:f>
      </x:c>
      <x:c r="K11" s="84" t="str">
        <x:f>IF(COUNTA('📥 DADOS BRUTOS'!B11)=0,"",'🧮 MAIA-2 Scores'!L11)</x:f>
      </x:c>
      <x:c r="L11" s="84" t="str">
        <x:f>IF(COUNTA('📥 DADOS BRUTOS'!B11)=0,"",'🧮 MAIA-2 Scores'!M11)</x:f>
      </x:c>
      <x:c r="M11" s="84" t="str">
        <x:f>IF(COUNTA('📥 DADOS BRUTOS'!B11)=0,"",'🧠 FFMQ Scores'!E11)</x:f>
      </x:c>
      <x:c r="N11" s="84" t="str">
        <x:f>IF(COUNTA('📥 DADOS BRUTOS'!B11)=0,"",'🧠 FFMQ Scores'!F11)</x:f>
      </x:c>
      <x:c r="O11" s="84" t="str">
        <x:f>IF(COUNTA('📥 DADOS BRUTOS'!B11)=0,"",'🧠 FFMQ Scores'!G11)</x:f>
      </x:c>
      <x:c r="P11" s="84" t="str">
        <x:f>IF(COUNTA('📥 DADOS BRUTOS'!B11)=0,"",'🧠 FFMQ Scores'!H11)</x:f>
      </x:c>
      <x:c r="Q11" s="84" t="str">
        <x:f>IF(COUNTA('📥 DADOS BRUTOS'!B11)=0,"",'🧠 FFMQ Scores'!I11)</x:f>
      </x:c>
      <x:c r="R11" s="84" t="str">
        <x:f>IF(COUNTA('📥 DADOS BRUTOS'!B11)=0,"",'🧠 FFMQ Scores'!J11)</x:f>
      </x:c>
      <x:c r="S11" s="84" t="str">
        <x:f>IF(COUNTA('📥 DADOS BRUTOS'!B11)=0,"",'🌀 IPS-20 Scores'!E11)</x:f>
      </x:c>
      <x:c r="T11" s="84" t="str">
        <x:f>IF(COUNTA('📥 DADOS BRUTOS'!B11)=0,"",'🌀 IPS-20 Scores'!F11)</x:f>
      </x:c>
      <x:c r="U11" s="84" t="str">
        <x:f>IF(COUNTA('📥 DADOS BRUTOS'!B11)=0,"",'🌀 IPS-20 Scores'!G11)</x:f>
      </x:c>
      <x:c r="V11" s="84" t="str">
        <x:f>IF(COUNTA('📥 DADOS BRUTOS'!B11)=0,"",'🌀 IPS-20 Scores'!H11)</x:f>
      </x:c>
      <x:c r="W11" s="84" t="str">
        <x:f>IF(COUNTA('📥 DADOS BRUTOS'!B11)=0,"",'🌀 IPS-20 Scores'!I11)</x:f>
      </x:c>
      <x:c r="X11" s="84" t="str">
        <x:f>IF(COUNTA('📥 DADOS BRUTOS'!B11)=0,"",'🌀 IPS-20 Scores'!J11)</x:f>
      </x:c>
      <x:c r="Y11" s="30" t="str">
        <x:f>IF(COUNTA('📥 DADOS BRUTOS'!B11)=0,"",'🌀 IPS-20 Scores'!K11)</x:f>
      </x:c>
      <x:c r="Z11" s="84" t="str">
        <x:f>IF(COUNTA('📥 DADOS BRUTOS'!B11)=0,"",'💪 GSES Scores'!E11)</x:f>
      </x:c>
      <x:c r="AA11" s="30" t="str">
        <x:f>IF(COUNTA('📥 DADOS BRUTOS'!B11)=0,"",'💪 GSES Scores'!F11)</x:f>
      </x:c>
      <x:c r="AB11" t="str">
        <x:f>IF(A11="","",COUNTIF($A$2:A11,A11))</x:f>
      </x:c>
      <x:c r="AC11" t="str">
        <x:f t="shared" si="0">IF(A11="","",A11&amp;"|"&amp;AB11)</x:f>
      </x:c>
    </x:row>
    <x:row r="12" ht="18" customHeight="1">
      <x:c r="A12" s="26" t="str">
        <x:f>IF(COUNTA('📥 DADOS BRUTOS'!B12)=0,"",'📥 DADOS BRUTOS'!B12)</x:f>
      </x:c>
      <x:c r="B12" s="26" t="str">
        <x:f>IF(COUNTA('📥 DADOS BRUTOS'!B12)=0,"",'📥 DADOS BRUTOS'!C12)</x:f>
      </x:c>
      <x:c r="C12" s="26" t="str">
        <x:f>IF(COUNTA('📥 DADOS BRUTOS'!B12)=0,"",'📥 DADOS BRUTOS'!D12)</x:f>
      </x:c>
      <x:c r="D12" s="36" t="str">
        <x:f>IF(COUNTA('📥 DADOS BRUTOS'!B12)=0,"",'🧮 MAIA-2 Scores'!E12)</x:f>
      </x:c>
      <x:c r="E12" s="36" t="str">
        <x:f>IF(COUNTA('📥 DADOS BRUTOS'!B12)=0,"",'🧮 MAIA-2 Scores'!F12)</x:f>
      </x:c>
      <x:c r="F12" s="36" t="str">
        <x:f>IF(COUNTA('📥 DADOS BRUTOS'!B12)=0,"",'🧮 MAIA-2 Scores'!G12)</x:f>
      </x:c>
      <x:c r="G12" s="36" t="str">
        <x:f>IF(COUNTA('📥 DADOS BRUTOS'!B12)=0,"",'🧮 MAIA-2 Scores'!H12)</x:f>
      </x:c>
      <x:c r="H12" s="36" t="str">
        <x:f>IF(COUNTA('📥 DADOS BRUTOS'!B12)=0,"",'🧮 MAIA-2 Scores'!I12)</x:f>
      </x:c>
      <x:c r="I12" s="36" t="str">
        <x:f>IF(COUNTA('📥 DADOS BRUTOS'!B12)=0,"",'🧮 MAIA-2 Scores'!J12)</x:f>
      </x:c>
      <x:c r="J12" s="36" t="str">
        <x:f>IF(COUNTA('📥 DADOS BRUTOS'!B12)=0,"",'🧮 MAIA-2 Scores'!K12)</x:f>
      </x:c>
      <x:c r="K12" s="36" t="str">
        <x:f>IF(COUNTA('📥 DADOS BRUTOS'!B12)=0,"",'🧮 MAIA-2 Scores'!L12)</x:f>
      </x:c>
      <x:c r="L12" s="36" t="str">
        <x:f>IF(COUNTA('📥 DADOS BRUTOS'!B12)=0,"",'🧮 MAIA-2 Scores'!M12)</x:f>
      </x:c>
      <x:c r="M12" s="36" t="str">
        <x:f>IF(COUNTA('📥 DADOS BRUTOS'!B12)=0,"",'🧠 FFMQ Scores'!E12)</x:f>
      </x:c>
      <x:c r="N12" s="36" t="str">
        <x:f>IF(COUNTA('📥 DADOS BRUTOS'!B12)=0,"",'🧠 FFMQ Scores'!F12)</x:f>
      </x:c>
      <x:c r="O12" s="36" t="str">
        <x:f>IF(COUNTA('📥 DADOS BRUTOS'!B12)=0,"",'🧠 FFMQ Scores'!G12)</x:f>
      </x:c>
      <x:c r="P12" s="36" t="str">
        <x:f>IF(COUNTA('📥 DADOS BRUTOS'!B12)=0,"",'🧠 FFMQ Scores'!H12)</x:f>
      </x:c>
      <x:c r="Q12" s="36" t="str">
        <x:f>IF(COUNTA('📥 DADOS BRUTOS'!B12)=0,"",'🧠 FFMQ Scores'!I12)</x:f>
      </x:c>
      <x:c r="R12" s="36" t="str">
        <x:f>IF(COUNTA('📥 DADOS BRUTOS'!B12)=0,"",'🧠 FFMQ Scores'!J12)</x:f>
      </x:c>
      <x:c r="S12" s="36" t="str">
        <x:f>IF(COUNTA('📥 DADOS BRUTOS'!B12)=0,"",'🌀 IPS-20 Scores'!E12)</x:f>
      </x:c>
      <x:c r="T12" s="36" t="str">
        <x:f>IF(COUNTA('📥 DADOS BRUTOS'!B12)=0,"",'🌀 IPS-20 Scores'!F12)</x:f>
      </x:c>
      <x:c r="U12" s="36" t="str">
        <x:f>IF(COUNTA('📥 DADOS BRUTOS'!B12)=0,"",'🌀 IPS-20 Scores'!G12)</x:f>
      </x:c>
      <x:c r="V12" s="36" t="str">
        <x:f>IF(COUNTA('📥 DADOS BRUTOS'!B12)=0,"",'🌀 IPS-20 Scores'!H12)</x:f>
      </x:c>
      <x:c r="W12" s="36" t="str">
        <x:f>IF(COUNTA('📥 DADOS BRUTOS'!B12)=0,"",'🌀 IPS-20 Scores'!I12)</x:f>
      </x:c>
      <x:c r="X12" s="36" t="str">
        <x:f>IF(COUNTA('📥 DADOS BRUTOS'!B12)=0,"",'🌀 IPS-20 Scores'!J12)</x:f>
      </x:c>
      <x:c r="Y12" s="26" t="str">
        <x:f>IF(COUNTA('📥 DADOS BRUTOS'!B12)=0,"",'🌀 IPS-20 Scores'!K12)</x:f>
      </x:c>
      <x:c r="Z12" s="36" t="str">
        <x:f>IF(COUNTA('📥 DADOS BRUTOS'!B12)=0,"",'💪 GSES Scores'!E12)</x:f>
      </x:c>
      <x:c r="AA12" s="26" t="str">
        <x:f>IF(COUNTA('📥 DADOS BRUTOS'!B12)=0,"",'💪 GSES Scores'!F12)</x:f>
      </x:c>
      <x:c r="AB12" t="str">
        <x:f>IF(A12="","",COUNTIF($A$2:A12,A12))</x:f>
      </x:c>
      <x:c r="AC12" t="str">
        <x:f t="shared" si="0">IF(A12="","",A12&amp;"|"&amp;AB12)</x:f>
      </x:c>
    </x:row>
    <x:row r="13" ht="18" customHeight="1">
      <x:c r="A13" s="30" t="str">
        <x:f>IF(COUNTA('📥 DADOS BRUTOS'!B13)=0,"",'📥 DADOS BRUTOS'!B13)</x:f>
      </x:c>
      <x:c r="B13" s="30" t="str">
        <x:f>IF(COUNTA('📥 DADOS BRUTOS'!B13)=0,"",'📥 DADOS BRUTOS'!C13)</x:f>
      </x:c>
      <x:c r="C13" s="30" t="str">
        <x:f>IF(COUNTA('📥 DADOS BRUTOS'!B13)=0,"",'📥 DADOS BRUTOS'!D13)</x:f>
      </x:c>
      <x:c r="D13" s="84" t="str">
        <x:f>IF(COUNTA('📥 DADOS BRUTOS'!B13)=0,"",'🧮 MAIA-2 Scores'!E13)</x:f>
      </x:c>
      <x:c r="E13" s="84" t="str">
        <x:f>IF(COUNTA('📥 DADOS BRUTOS'!B13)=0,"",'🧮 MAIA-2 Scores'!F13)</x:f>
      </x:c>
      <x:c r="F13" s="84" t="str">
        <x:f>IF(COUNTA('📥 DADOS BRUTOS'!B13)=0,"",'🧮 MAIA-2 Scores'!G13)</x:f>
      </x:c>
      <x:c r="G13" s="84" t="str">
        <x:f>IF(COUNTA('📥 DADOS BRUTOS'!B13)=0,"",'🧮 MAIA-2 Scores'!H13)</x:f>
      </x:c>
      <x:c r="H13" s="84" t="str">
        <x:f>IF(COUNTA('📥 DADOS BRUTOS'!B13)=0,"",'🧮 MAIA-2 Scores'!I13)</x:f>
      </x:c>
      <x:c r="I13" s="84" t="str">
        <x:f>IF(COUNTA('📥 DADOS BRUTOS'!B13)=0,"",'🧮 MAIA-2 Scores'!J13)</x:f>
      </x:c>
      <x:c r="J13" s="84" t="str">
        <x:f>IF(COUNTA('📥 DADOS BRUTOS'!B13)=0,"",'🧮 MAIA-2 Scores'!K13)</x:f>
      </x:c>
      <x:c r="K13" s="84" t="str">
        <x:f>IF(COUNTA('📥 DADOS BRUTOS'!B13)=0,"",'🧮 MAIA-2 Scores'!L13)</x:f>
      </x:c>
      <x:c r="L13" s="84" t="str">
        <x:f>IF(COUNTA('📥 DADOS BRUTOS'!B13)=0,"",'🧮 MAIA-2 Scores'!M13)</x:f>
      </x:c>
      <x:c r="M13" s="84" t="str">
        <x:f>IF(COUNTA('📥 DADOS BRUTOS'!B13)=0,"",'🧠 FFMQ Scores'!E13)</x:f>
      </x:c>
      <x:c r="N13" s="84" t="str">
        <x:f>IF(COUNTA('📥 DADOS BRUTOS'!B13)=0,"",'🧠 FFMQ Scores'!F13)</x:f>
      </x:c>
      <x:c r="O13" s="84" t="str">
        <x:f>IF(COUNTA('📥 DADOS BRUTOS'!B13)=0,"",'🧠 FFMQ Scores'!G13)</x:f>
      </x:c>
      <x:c r="P13" s="84" t="str">
        <x:f>IF(COUNTA('📥 DADOS BRUTOS'!B13)=0,"",'🧠 FFMQ Scores'!H13)</x:f>
      </x:c>
      <x:c r="Q13" s="84" t="str">
        <x:f>IF(COUNTA('📥 DADOS BRUTOS'!B13)=0,"",'🧠 FFMQ Scores'!I13)</x:f>
      </x:c>
      <x:c r="R13" s="84" t="str">
        <x:f>IF(COUNTA('📥 DADOS BRUTOS'!B13)=0,"",'🧠 FFMQ Scores'!J13)</x:f>
      </x:c>
      <x:c r="S13" s="84" t="str">
        <x:f>IF(COUNTA('📥 DADOS BRUTOS'!B13)=0,"",'🌀 IPS-20 Scores'!E13)</x:f>
      </x:c>
      <x:c r="T13" s="84" t="str">
        <x:f>IF(COUNTA('📥 DADOS BRUTOS'!B13)=0,"",'🌀 IPS-20 Scores'!F13)</x:f>
      </x:c>
      <x:c r="U13" s="84" t="str">
        <x:f>IF(COUNTA('📥 DADOS BRUTOS'!B13)=0,"",'🌀 IPS-20 Scores'!G13)</x:f>
      </x:c>
      <x:c r="V13" s="84" t="str">
        <x:f>IF(COUNTA('📥 DADOS BRUTOS'!B13)=0,"",'🌀 IPS-20 Scores'!H13)</x:f>
      </x:c>
      <x:c r="W13" s="84" t="str">
        <x:f>IF(COUNTA('📥 DADOS BRUTOS'!B13)=0,"",'🌀 IPS-20 Scores'!I13)</x:f>
      </x:c>
      <x:c r="X13" s="84" t="str">
        <x:f>IF(COUNTA('📥 DADOS BRUTOS'!B13)=0,"",'🌀 IPS-20 Scores'!J13)</x:f>
      </x:c>
      <x:c r="Y13" s="30" t="str">
        <x:f>IF(COUNTA('📥 DADOS BRUTOS'!B13)=0,"",'🌀 IPS-20 Scores'!K13)</x:f>
      </x:c>
      <x:c r="Z13" s="84" t="str">
        <x:f>IF(COUNTA('📥 DADOS BRUTOS'!B13)=0,"",'💪 GSES Scores'!E13)</x:f>
      </x:c>
      <x:c r="AA13" s="30" t="str">
        <x:f>IF(COUNTA('📥 DADOS BRUTOS'!B13)=0,"",'💪 GSES Scores'!F13)</x:f>
      </x:c>
      <x:c r="AB13" t="str">
        <x:f>IF(A13="","",COUNTIF($A$2:A13,A13))</x:f>
      </x:c>
      <x:c r="AC13" t="str">
        <x:f t="shared" si="0">IF(A13="","",A13&amp;"|"&amp;AB13)</x:f>
      </x:c>
    </x:row>
    <x:row r="14" ht="18" customHeight="1">
      <x:c r="A14" s="26" t="str">
        <x:f>IF(COUNTA('📥 DADOS BRUTOS'!B14)=0,"",'📥 DADOS BRUTOS'!B14)</x:f>
      </x:c>
      <x:c r="B14" s="26" t="str">
        <x:f>IF(COUNTA('📥 DADOS BRUTOS'!B14)=0,"",'📥 DADOS BRUTOS'!C14)</x:f>
      </x:c>
      <x:c r="C14" s="26" t="str">
        <x:f>IF(COUNTA('📥 DADOS BRUTOS'!B14)=0,"",'📥 DADOS BRUTOS'!D14)</x:f>
      </x:c>
      <x:c r="D14" s="36" t="str">
        <x:f>IF(COUNTA('📥 DADOS BRUTOS'!B14)=0,"",'🧮 MAIA-2 Scores'!E14)</x:f>
      </x:c>
      <x:c r="E14" s="36" t="str">
        <x:f>IF(COUNTA('📥 DADOS BRUTOS'!B14)=0,"",'🧮 MAIA-2 Scores'!F14)</x:f>
      </x:c>
      <x:c r="F14" s="36" t="str">
        <x:f>IF(COUNTA('📥 DADOS BRUTOS'!B14)=0,"",'🧮 MAIA-2 Scores'!G14)</x:f>
      </x:c>
      <x:c r="G14" s="36" t="str">
        <x:f>IF(COUNTA('📥 DADOS BRUTOS'!B14)=0,"",'🧮 MAIA-2 Scores'!H14)</x:f>
      </x:c>
      <x:c r="H14" s="36" t="str">
        <x:f>IF(COUNTA('📥 DADOS BRUTOS'!B14)=0,"",'🧮 MAIA-2 Scores'!I14)</x:f>
      </x:c>
      <x:c r="I14" s="36" t="str">
        <x:f>IF(COUNTA('📥 DADOS BRUTOS'!B14)=0,"",'🧮 MAIA-2 Scores'!J14)</x:f>
      </x:c>
      <x:c r="J14" s="36" t="str">
        <x:f>IF(COUNTA('📥 DADOS BRUTOS'!B14)=0,"",'🧮 MAIA-2 Scores'!K14)</x:f>
      </x:c>
      <x:c r="K14" s="36" t="str">
        <x:f>IF(COUNTA('📥 DADOS BRUTOS'!B14)=0,"",'🧮 MAIA-2 Scores'!L14)</x:f>
      </x:c>
      <x:c r="L14" s="36" t="str">
        <x:f>IF(COUNTA('📥 DADOS BRUTOS'!B14)=0,"",'🧮 MAIA-2 Scores'!M14)</x:f>
      </x:c>
      <x:c r="M14" s="36" t="str">
        <x:f>IF(COUNTA('📥 DADOS BRUTOS'!B14)=0,"",'🧠 FFMQ Scores'!E14)</x:f>
      </x:c>
      <x:c r="N14" s="36" t="str">
        <x:f>IF(COUNTA('📥 DADOS BRUTOS'!B14)=0,"",'🧠 FFMQ Scores'!F14)</x:f>
      </x:c>
      <x:c r="O14" s="36" t="str">
        <x:f>IF(COUNTA('📥 DADOS BRUTOS'!B14)=0,"",'🧠 FFMQ Scores'!G14)</x:f>
      </x:c>
      <x:c r="P14" s="36" t="str">
        <x:f>IF(COUNTA('📥 DADOS BRUTOS'!B14)=0,"",'🧠 FFMQ Scores'!H14)</x:f>
      </x:c>
      <x:c r="Q14" s="36" t="str">
        <x:f>IF(COUNTA('📥 DADOS BRUTOS'!B14)=0,"",'🧠 FFMQ Scores'!I14)</x:f>
      </x:c>
      <x:c r="R14" s="36" t="str">
        <x:f>IF(COUNTA('📥 DADOS BRUTOS'!B14)=0,"",'🧠 FFMQ Scores'!J14)</x:f>
      </x:c>
      <x:c r="S14" s="36" t="str">
        <x:f>IF(COUNTA('📥 DADOS BRUTOS'!B14)=0,"",'🌀 IPS-20 Scores'!E14)</x:f>
      </x:c>
      <x:c r="T14" s="36" t="str">
        <x:f>IF(COUNTA('📥 DADOS BRUTOS'!B14)=0,"",'🌀 IPS-20 Scores'!F14)</x:f>
      </x:c>
      <x:c r="U14" s="36" t="str">
        <x:f>IF(COUNTA('📥 DADOS BRUTOS'!B14)=0,"",'🌀 IPS-20 Scores'!G14)</x:f>
      </x:c>
      <x:c r="V14" s="36" t="str">
        <x:f>IF(COUNTA('📥 DADOS BRUTOS'!B14)=0,"",'🌀 IPS-20 Scores'!H14)</x:f>
      </x:c>
      <x:c r="W14" s="36" t="str">
        <x:f>IF(COUNTA('📥 DADOS BRUTOS'!B14)=0,"",'🌀 IPS-20 Scores'!I14)</x:f>
      </x:c>
      <x:c r="X14" s="36" t="str">
        <x:f>IF(COUNTA('📥 DADOS BRUTOS'!B14)=0,"",'🌀 IPS-20 Scores'!J14)</x:f>
      </x:c>
      <x:c r="Y14" s="26" t="str">
        <x:f>IF(COUNTA('📥 DADOS BRUTOS'!B14)=0,"",'🌀 IPS-20 Scores'!K14)</x:f>
      </x:c>
      <x:c r="Z14" s="36" t="str">
        <x:f>IF(COUNTA('📥 DADOS BRUTOS'!B14)=0,"",'💪 GSES Scores'!E14)</x:f>
      </x:c>
      <x:c r="AA14" s="26" t="str">
        <x:f>IF(COUNTA('📥 DADOS BRUTOS'!B14)=0,"",'💪 GSES Scores'!F14)</x:f>
      </x:c>
      <x:c r="AB14" t="str">
        <x:f>IF(A14="","",COUNTIF($A$2:A14,A14))</x:f>
      </x:c>
      <x:c r="AC14" t="str">
        <x:f t="shared" si="0">IF(A14="","",A14&amp;"|"&amp;AB14)</x:f>
      </x:c>
    </x:row>
    <x:row r="15" ht="18" customHeight="1">
      <x:c r="A15" s="30" t="str">
        <x:f>IF(COUNTA('📥 DADOS BRUTOS'!B15)=0,"",'📥 DADOS BRUTOS'!B15)</x:f>
      </x:c>
      <x:c r="B15" s="30" t="str">
        <x:f>IF(COUNTA('📥 DADOS BRUTOS'!B15)=0,"",'📥 DADOS BRUTOS'!C15)</x:f>
      </x:c>
      <x:c r="C15" s="30" t="str">
        <x:f>IF(COUNTA('📥 DADOS BRUTOS'!B15)=0,"",'📥 DADOS BRUTOS'!D15)</x:f>
      </x:c>
      <x:c r="D15" s="84" t="str">
        <x:f>IF(COUNTA('📥 DADOS BRUTOS'!B15)=0,"",'🧮 MAIA-2 Scores'!E15)</x:f>
      </x:c>
      <x:c r="E15" s="84" t="str">
        <x:f>IF(COUNTA('📥 DADOS BRUTOS'!B15)=0,"",'🧮 MAIA-2 Scores'!F15)</x:f>
      </x:c>
      <x:c r="F15" s="84" t="str">
        <x:f>IF(COUNTA('📥 DADOS BRUTOS'!B15)=0,"",'🧮 MAIA-2 Scores'!G15)</x:f>
      </x:c>
      <x:c r="G15" s="84" t="str">
        <x:f>IF(COUNTA('📥 DADOS BRUTOS'!B15)=0,"",'🧮 MAIA-2 Scores'!H15)</x:f>
      </x:c>
      <x:c r="H15" s="84" t="str">
        <x:f>IF(COUNTA('📥 DADOS BRUTOS'!B15)=0,"",'🧮 MAIA-2 Scores'!I15)</x:f>
      </x:c>
      <x:c r="I15" s="84" t="str">
        <x:f>IF(COUNTA('📥 DADOS BRUTOS'!B15)=0,"",'🧮 MAIA-2 Scores'!J15)</x:f>
      </x:c>
      <x:c r="J15" s="84" t="str">
        <x:f>IF(COUNTA('📥 DADOS BRUTOS'!B15)=0,"",'🧮 MAIA-2 Scores'!K15)</x:f>
      </x:c>
      <x:c r="K15" s="84" t="str">
        <x:f>IF(COUNTA('📥 DADOS BRUTOS'!B15)=0,"",'🧮 MAIA-2 Scores'!L15)</x:f>
      </x:c>
      <x:c r="L15" s="84" t="str">
        <x:f>IF(COUNTA('📥 DADOS BRUTOS'!B15)=0,"",'🧮 MAIA-2 Scores'!M15)</x:f>
      </x:c>
      <x:c r="M15" s="84" t="str">
        <x:f>IF(COUNTA('📥 DADOS BRUTOS'!B15)=0,"",'🧠 FFMQ Scores'!E15)</x:f>
      </x:c>
      <x:c r="N15" s="84" t="str">
        <x:f>IF(COUNTA('📥 DADOS BRUTOS'!B15)=0,"",'🧠 FFMQ Scores'!F15)</x:f>
      </x:c>
      <x:c r="O15" s="84" t="str">
        <x:f>IF(COUNTA('📥 DADOS BRUTOS'!B15)=0,"",'🧠 FFMQ Scores'!G15)</x:f>
      </x:c>
      <x:c r="P15" s="84" t="str">
        <x:f>IF(COUNTA('📥 DADOS BRUTOS'!B15)=0,"",'🧠 FFMQ Scores'!H15)</x:f>
      </x:c>
      <x:c r="Q15" s="84" t="str">
        <x:f>IF(COUNTA('📥 DADOS BRUTOS'!B15)=0,"",'🧠 FFMQ Scores'!I15)</x:f>
      </x:c>
      <x:c r="R15" s="84" t="str">
        <x:f>IF(COUNTA('📥 DADOS BRUTOS'!B15)=0,"",'🧠 FFMQ Scores'!J15)</x:f>
      </x:c>
      <x:c r="S15" s="84" t="str">
        <x:f>IF(COUNTA('📥 DADOS BRUTOS'!B15)=0,"",'🌀 IPS-20 Scores'!E15)</x:f>
      </x:c>
      <x:c r="T15" s="84" t="str">
        <x:f>IF(COUNTA('📥 DADOS BRUTOS'!B15)=0,"",'🌀 IPS-20 Scores'!F15)</x:f>
      </x:c>
      <x:c r="U15" s="84" t="str">
        <x:f>IF(COUNTA('📥 DADOS BRUTOS'!B15)=0,"",'🌀 IPS-20 Scores'!G15)</x:f>
      </x:c>
      <x:c r="V15" s="84" t="str">
        <x:f>IF(COUNTA('📥 DADOS BRUTOS'!B15)=0,"",'🌀 IPS-20 Scores'!H15)</x:f>
      </x:c>
      <x:c r="W15" s="84" t="str">
        <x:f>IF(COUNTA('📥 DADOS BRUTOS'!B15)=0,"",'🌀 IPS-20 Scores'!I15)</x:f>
      </x:c>
      <x:c r="X15" s="84" t="str">
        <x:f>IF(COUNTA('📥 DADOS BRUTOS'!B15)=0,"",'🌀 IPS-20 Scores'!J15)</x:f>
      </x:c>
      <x:c r="Y15" s="30" t="str">
        <x:f>IF(COUNTA('📥 DADOS BRUTOS'!B15)=0,"",'🌀 IPS-20 Scores'!K15)</x:f>
      </x:c>
      <x:c r="Z15" s="84" t="str">
        <x:f>IF(COUNTA('📥 DADOS BRUTOS'!B15)=0,"",'💪 GSES Scores'!E15)</x:f>
      </x:c>
      <x:c r="AA15" s="30" t="str">
        <x:f>IF(COUNTA('📥 DADOS BRUTOS'!B15)=0,"",'💪 GSES Scores'!F15)</x:f>
      </x:c>
      <x:c r="AB15" t="str">
        <x:f>IF(A15="","",COUNTIF($A$2:A15,A15))</x:f>
      </x:c>
      <x:c r="AC15" t="str">
        <x:f t="shared" si="0">IF(A15="","",A15&amp;"|"&amp;AB15)</x:f>
      </x:c>
    </x:row>
    <x:row r="16" ht="18" customHeight="1">
      <x:c r="A16" s="26" t="str">
        <x:f>IF(COUNTA('📥 DADOS BRUTOS'!B16)=0,"",'📥 DADOS BRUTOS'!B16)</x:f>
      </x:c>
      <x:c r="B16" s="26" t="str">
        <x:f>IF(COUNTA('📥 DADOS BRUTOS'!B16)=0,"",'📥 DADOS BRUTOS'!C16)</x:f>
      </x:c>
      <x:c r="C16" s="26" t="str">
        <x:f>IF(COUNTA('📥 DADOS BRUTOS'!B16)=0,"",'📥 DADOS BRUTOS'!D16)</x:f>
      </x:c>
      <x:c r="D16" s="36" t="str">
        <x:f>IF(COUNTA('📥 DADOS BRUTOS'!B16)=0,"",'🧮 MAIA-2 Scores'!E16)</x:f>
      </x:c>
      <x:c r="E16" s="36" t="str">
        <x:f>IF(COUNTA('📥 DADOS BRUTOS'!B16)=0,"",'🧮 MAIA-2 Scores'!F16)</x:f>
      </x:c>
      <x:c r="F16" s="36" t="str">
        <x:f>IF(COUNTA('📥 DADOS BRUTOS'!B16)=0,"",'🧮 MAIA-2 Scores'!G16)</x:f>
      </x:c>
      <x:c r="G16" s="36" t="str">
        <x:f>IF(COUNTA('📥 DADOS BRUTOS'!B16)=0,"",'🧮 MAIA-2 Scores'!H16)</x:f>
      </x:c>
      <x:c r="H16" s="36" t="str">
        <x:f>IF(COUNTA('📥 DADOS BRUTOS'!B16)=0,"",'🧮 MAIA-2 Scores'!I16)</x:f>
      </x:c>
      <x:c r="I16" s="36" t="str">
        <x:f>IF(COUNTA('📥 DADOS BRUTOS'!B16)=0,"",'🧮 MAIA-2 Scores'!J16)</x:f>
      </x:c>
      <x:c r="J16" s="36" t="str">
        <x:f>IF(COUNTA('📥 DADOS BRUTOS'!B16)=0,"",'🧮 MAIA-2 Scores'!K16)</x:f>
      </x:c>
      <x:c r="K16" s="36" t="str">
        <x:f>IF(COUNTA('📥 DADOS BRUTOS'!B16)=0,"",'🧮 MAIA-2 Scores'!L16)</x:f>
      </x:c>
      <x:c r="L16" s="36" t="str">
        <x:f>IF(COUNTA('📥 DADOS BRUTOS'!B16)=0,"",'🧮 MAIA-2 Scores'!M16)</x:f>
      </x:c>
      <x:c r="M16" s="36" t="str">
        <x:f>IF(COUNTA('📥 DADOS BRUTOS'!B16)=0,"",'🧠 FFMQ Scores'!E16)</x:f>
      </x:c>
      <x:c r="N16" s="36" t="str">
        <x:f>IF(COUNTA('📥 DADOS BRUTOS'!B16)=0,"",'🧠 FFMQ Scores'!F16)</x:f>
      </x:c>
      <x:c r="O16" s="36" t="str">
        <x:f>IF(COUNTA('📥 DADOS BRUTOS'!B16)=0,"",'🧠 FFMQ Scores'!G16)</x:f>
      </x:c>
      <x:c r="P16" s="36" t="str">
        <x:f>IF(COUNTA('📥 DADOS BRUTOS'!B16)=0,"",'🧠 FFMQ Scores'!H16)</x:f>
      </x:c>
      <x:c r="Q16" s="36" t="str">
        <x:f>IF(COUNTA('📥 DADOS BRUTOS'!B16)=0,"",'🧠 FFMQ Scores'!I16)</x:f>
      </x:c>
      <x:c r="R16" s="36" t="str">
        <x:f>IF(COUNTA('📥 DADOS BRUTOS'!B16)=0,"",'🧠 FFMQ Scores'!J16)</x:f>
      </x:c>
      <x:c r="S16" s="36" t="str">
        <x:f>IF(COUNTA('📥 DADOS BRUTOS'!B16)=0,"",'🌀 IPS-20 Scores'!E16)</x:f>
      </x:c>
      <x:c r="T16" s="36" t="str">
        <x:f>IF(COUNTA('📥 DADOS BRUTOS'!B16)=0,"",'🌀 IPS-20 Scores'!F16)</x:f>
      </x:c>
      <x:c r="U16" s="36" t="str">
        <x:f>IF(COUNTA('📥 DADOS BRUTOS'!B16)=0,"",'🌀 IPS-20 Scores'!G16)</x:f>
      </x:c>
      <x:c r="V16" s="36" t="str">
        <x:f>IF(COUNTA('📥 DADOS BRUTOS'!B16)=0,"",'🌀 IPS-20 Scores'!H16)</x:f>
      </x:c>
      <x:c r="W16" s="36" t="str">
        <x:f>IF(COUNTA('📥 DADOS BRUTOS'!B16)=0,"",'🌀 IPS-20 Scores'!I16)</x:f>
      </x:c>
      <x:c r="X16" s="36" t="str">
        <x:f>IF(COUNTA('📥 DADOS BRUTOS'!B16)=0,"",'🌀 IPS-20 Scores'!J16)</x:f>
      </x:c>
      <x:c r="Y16" s="26" t="str">
        <x:f>IF(COUNTA('📥 DADOS BRUTOS'!B16)=0,"",'🌀 IPS-20 Scores'!K16)</x:f>
      </x:c>
      <x:c r="Z16" s="36" t="str">
        <x:f>IF(COUNTA('📥 DADOS BRUTOS'!B16)=0,"",'💪 GSES Scores'!E16)</x:f>
      </x:c>
      <x:c r="AA16" s="26" t="str">
        <x:f>IF(COUNTA('📥 DADOS BRUTOS'!B16)=0,"",'💪 GSES Scores'!F16)</x:f>
      </x:c>
      <x:c r="AB16" t="str">
        <x:f>IF(A16="","",COUNTIF($A$2:A16,A16))</x:f>
      </x:c>
      <x:c r="AC16" t="str">
        <x:f t="shared" si="0">IF(A16="","",A16&amp;"|"&amp;AB16)</x:f>
      </x:c>
    </x:row>
    <x:row r="17" ht="18" customHeight="1">
      <x:c r="A17" s="30" t="str">
        <x:f>IF(COUNTA('📥 DADOS BRUTOS'!B17)=0,"",'📥 DADOS BRUTOS'!B17)</x:f>
      </x:c>
      <x:c r="B17" s="30" t="str">
        <x:f>IF(COUNTA('📥 DADOS BRUTOS'!B17)=0,"",'📥 DADOS BRUTOS'!C17)</x:f>
      </x:c>
      <x:c r="C17" s="30" t="str">
        <x:f>IF(COUNTA('📥 DADOS BRUTOS'!B17)=0,"",'📥 DADOS BRUTOS'!D17)</x:f>
      </x:c>
      <x:c r="D17" s="84" t="str">
        <x:f>IF(COUNTA('📥 DADOS BRUTOS'!B17)=0,"",'🧮 MAIA-2 Scores'!E17)</x:f>
      </x:c>
      <x:c r="E17" s="84" t="str">
        <x:f>IF(COUNTA('📥 DADOS BRUTOS'!B17)=0,"",'🧮 MAIA-2 Scores'!F17)</x:f>
      </x:c>
      <x:c r="F17" s="84" t="str">
        <x:f>IF(COUNTA('📥 DADOS BRUTOS'!B17)=0,"",'🧮 MAIA-2 Scores'!G17)</x:f>
      </x:c>
      <x:c r="G17" s="84" t="str">
        <x:f>IF(COUNTA('📥 DADOS BRUTOS'!B17)=0,"",'🧮 MAIA-2 Scores'!H17)</x:f>
      </x:c>
      <x:c r="H17" s="84" t="str">
        <x:f>IF(COUNTA('📥 DADOS BRUTOS'!B17)=0,"",'🧮 MAIA-2 Scores'!I17)</x:f>
      </x:c>
      <x:c r="I17" s="84" t="str">
        <x:f>IF(COUNTA('📥 DADOS BRUTOS'!B17)=0,"",'🧮 MAIA-2 Scores'!J17)</x:f>
      </x:c>
      <x:c r="J17" s="84" t="str">
        <x:f>IF(COUNTA('📥 DADOS BRUTOS'!B17)=0,"",'🧮 MAIA-2 Scores'!K17)</x:f>
      </x:c>
      <x:c r="K17" s="84" t="str">
        <x:f>IF(COUNTA('📥 DADOS BRUTOS'!B17)=0,"",'🧮 MAIA-2 Scores'!L17)</x:f>
      </x:c>
      <x:c r="L17" s="84" t="str">
        <x:f>IF(COUNTA('📥 DADOS BRUTOS'!B17)=0,"",'🧮 MAIA-2 Scores'!M17)</x:f>
      </x:c>
      <x:c r="M17" s="84" t="str">
        <x:f>IF(COUNTA('📥 DADOS BRUTOS'!B17)=0,"",'🧠 FFMQ Scores'!E17)</x:f>
      </x:c>
      <x:c r="N17" s="84" t="str">
        <x:f>IF(COUNTA('📥 DADOS BRUTOS'!B17)=0,"",'🧠 FFMQ Scores'!F17)</x:f>
      </x:c>
      <x:c r="O17" s="84" t="str">
        <x:f>IF(COUNTA('📥 DADOS BRUTOS'!B17)=0,"",'🧠 FFMQ Scores'!G17)</x:f>
      </x:c>
      <x:c r="P17" s="84" t="str">
        <x:f>IF(COUNTA('📥 DADOS BRUTOS'!B17)=0,"",'🧠 FFMQ Scores'!H17)</x:f>
      </x:c>
      <x:c r="Q17" s="84" t="str">
        <x:f>IF(COUNTA('📥 DADOS BRUTOS'!B17)=0,"",'🧠 FFMQ Scores'!I17)</x:f>
      </x:c>
      <x:c r="R17" s="84" t="str">
        <x:f>IF(COUNTA('📥 DADOS BRUTOS'!B17)=0,"",'🧠 FFMQ Scores'!J17)</x:f>
      </x:c>
      <x:c r="S17" s="84" t="str">
        <x:f>IF(COUNTA('📥 DADOS BRUTOS'!B17)=0,"",'🌀 IPS-20 Scores'!E17)</x:f>
      </x:c>
      <x:c r="T17" s="84" t="str">
        <x:f>IF(COUNTA('📥 DADOS BRUTOS'!B17)=0,"",'🌀 IPS-20 Scores'!F17)</x:f>
      </x:c>
      <x:c r="U17" s="84" t="str">
        <x:f>IF(COUNTA('📥 DADOS BRUTOS'!B17)=0,"",'🌀 IPS-20 Scores'!G17)</x:f>
      </x:c>
      <x:c r="V17" s="84" t="str">
        <x:f>IF(COUNTA('📥 DADOS BRUTOS'!B17)=0,"",'🌀 IPS-20 Scores'!H17)</x:f>
      </x:c>
      <x:c r="W17" s="84" t="str">
        <x:f>IF(COUNTA('📥 DADOS BRUTOS'!B17)=0,"",'🌀 IPS-20 Scores'!I17)</x:f>
      </x:c>
      <x:c r="X17" s="84" t="str">
        <x:f>IF(COUNTA('📥 DADOS BRUTOS'!B17)=0,"",'🌀 IPS-20 Scores'!J17)</x:f>
      </x:c>
      <x:c r="Y17" s="30" t="str">
        <x:f>IF(COUNTA('📥 DADOS BRUTOS'!B17)=0,"",'🌀 IPS-20 Scores'!K17)</x:f>
      </x:c>
      <x:c r="Z17" s="84" t="str">
        <x:f>IF(COUNTA('📥 DADOS BRUTOS'!B17)=0,"",'💪 GSES Scores'!E17)</x:f>
      </x:c>
      <x:c r="AA17" s="30" t="str">
        <x:f>IF(COUNTA('📥 DADOS BRUTOS'!B17)=0,"",'💪 GSES Scores'!F17)</x:f>
      </x:c>
      <x:c r="AB17" t="str">
        <x:f>IF(A17="","",COUNTIF($A$2:A17,A17))</x:f>
      </x:c>
      <x:c r="AC17" t="str">
        <x:f t="shared" si="0">IF(A17="","",A17&amp;"|"&amp;AB17)</x:f>
      </x:c>
    </x:row>
    <x:row r="18" ht="18" customHeight="1">
      <x:c r="A18" s="26" t="str">
        <x:f>IF(COUNTA('📥 DADOS BRUTOS'!B18)=0,"",'📥 DADOS BRUTOS'!B18)</x:f>
      </x:c>
      <x:c r="B18" s="26" t="str">
        <x:f>IF(COUNTA('📥 DADOS BRUTOS'!B18)=0,"",'📥 DADOS BRUTOS'!C18)</x:f>
      </x:c>
      <x:c r="C18" s="26" t="str">
        <x:f>IF(COUNTA('📥 DADOS BRUTOS'!B18)=0,"",'📥 DADOS BRUTOS'!D18)</x:f>
      </x:c>
      <x:c r="D18" s="36" t="str">
        <x:f>IF(COUNTA('📥 DADOS BRUTOS'!B18)=0,"",'🧮 MAIA-2 Scores'!E18)</x:f>
      </x:c>
      <x:c r="E18" s="36" t="str">
        <x:f>IF(COUNTA('📥 DADOS BRUTOS'!B18)=0,"",'🧮 MAIA-2 Scores'!F18)</x:f>
      </x:c>
      <x:c r="F18" s="36" t="str">
        <x:f>IF(COUNTA('📥 DADOS BRUTOS'!B18)=0,"",'🧮 MAIA-2 Scores'!G18)</x:f>
      </x:c>
      <x:c r="G18" s="36" t="str">
        <x:f>IF(COUNTA('📥 DADOS BRUTOS'!B18)=0,"",'🧮 MAIA-2 Scores'!H18)</x:f>
      </x:c>
      <x:c r="H18" s="36" t="str">
        <x:f>IF(COUNTA('📥 DADOS BRUTOS'!B18)=0,"",'🧮 MAIA-2 Scores'!I18)</x:f>
      </x:c>
      <x:c r="I18" s="36" t="str">
        <x:f>IF(COUNTA('📥 DADOS BRUTOS'!B18)=0,"",'🧮 MAIA-2 Scores'!J18)</x:f>
      </x:c>
      <x:c r="J18" s="36" t="str">
        <x:f>IF(COUNTA('📥 DADOS BRUTOS'!B18)=0,"",'🧮 MAIA-2 Scores'!K18)</x:f>
      </x:c>
      <x:c r="K18" s="36" t="str">
        <x:f>IF(COUNTA('📥 DADOS BRUTOS'!B18)=0,"",'🧮 MAIA-2 Scores'!L18)</x:f>
      </x:c>
      <x:c r="L18" s="36" t="str">
        <x:f>IF(COUNTA('📥 DADOS BRUTOS'!B18)=0,"",'🧮 MAIA-2 Scores'!M18)</x:f>
      </x:c>
      <x:c r="M18" s="36" t="str">
        <x:f>IF(COUNTA('📥 DADOS BRUTOS'!B18)=0,"",'🧠 FFMQ Scores'!E18)</x:f>
      </x:c>
      <x:c r="N18" s="36" t="str">
        <x:f>IF(COUNTA('📥 DADOS BRUTOS'!B18)=0,"",'🧠 FFMQ Scores'!F18)</x:f>
      </x:c>
      <x:c r="O18" s="36" t="str">
        <x:f>IF(COUNTA('📥 DADOS BRUTOS'!B18)=0,"",'🧠 FFMQ Scores'!G18)</x:f>
      </x:c>
      <x:c r="P18" s="36" t="str">
        <x:f>IF(COUNTA('📥 DADOS BRUTOS'!B18)=0,"",'🧠 FFMQ Scores'!H18)</x:f>
      </x:c>
      <x:c r="Q18" s="36" t="str">
        <x:f>IF(COUNTA('📥 DADOS BRUTOS'!B18)=0,"",'🧠 FFMQ Scores'!I18)</x:f>
      </x:c>
      <x:c r="R18" s="36" t="str">
        <x:f>IF(COUNTA('📥 DADOS BRUTOS'!B18)=0,"",'🧠 FFMQ Scores'!J18)</x:f>
      </x:c>
      <x:c r="S18" s="36" t="str">
        <x:f>IF(COUNTA('📥 DADOS BRUTOS'!B18)=0,"",'🌀 IPS-20 Scores'!E18)</x:f>
      </x:c>
      <x:c r="T18" s="36" t="str">
        <x:f>IF(COUNTA('📥 DADOS BRUTOS'!B18)=0,"",'🌀 IPS-20 Scores'!F18)</x:f>
      </x:c>
      <x:c r="U18" s="36" t="str">
        <x:f>IF(COUNTA('📥 DADOS BRUTOS'!B18)=0,"",'🌀 IPS-20 Scores'!G18)</x:f>
      </x:c>
      <x:c r="V18" s="36" t="str">
        <x:f>IF(COUNTA('📥 DADOS BRUTOS'!B18)=0,"",'🌀 IPS-20 Scores'!H18)</x:f>
      </x:c>
      <x:c r="W18" s="36" t="str">
        <x:f>IF(COUNTA('📥 DADOS BRUTOS'!B18)=0,"",'🌀 IPS-20 Scores'!I18)</x:f>
      </x:c>
      <x:c r="X18" s="36" t="str">
        <x:f>IF(COUNTA('📥 DADOS BRUTOS'!B18)=0,"",'🌀 IPS-20 Scores'!J18)</x:f>
      </x:c>
      <x:c r="Y18" s="26" t="str">
        <x:f>IF(COUNTA('📥 DADOS BRUTOS'!B18)=0,"",'🌀 IPS-20 Scores'!K18)</x:f>
      </x:c>
      <x:c r="Z18" s="36" t="str">
        <x:f>IF(COUNTA('📥 DADOS BRUTOS'!B18)=0,"",'💪 GSES Scores'!E18)</x:f>
      </x:c>
      <x:c r="AA18" s="26" t="str">
        <x:f>IF(COUNTA('📥 DADOS BRUTOS'!B18)=0,"",'💪 GSES Scores'!F18)</x:f>
      </x:c>
      <x:c r="AB18" t="str">
        <x:f>IF(A18="","",COUNTIF($A$2:A18,A18))</x:f>
      </x:c>
      <x:c r="AC18" t="str">
        <x:f t="shared" si="0">IF(A18="","",A18&amp;"|"&amp;AB18)</x:f>
      </x:c>
    </x:row>
    <x:row r="19" ht="18" customHeight="1">
      <x:c r="A19" s="30" t="str">
        <x:f>IF(COUNTA('📥 DADOS BRUTOS'!B19)=0,"",'📥 DADOS BRUTOS'!B19)</x:f>
      </x:c>
      <x:c r="B19" s="30" t="str">
        <x:f>IF(COUNTA('📥 DADOS BRUTOS'!B19)=0,"",'📥 DADOS BRUTOS'!C19)</x:f>
      </x:c>
      <x:c r="C19" s="30" t="str">
        <x:f>IF(COUNTA('📥 DADOS BRUTOS'!B19)=0,"",'📥 DADOS BRUTOS'!D19)</x:f>
      </x:c>
      <x:c r="D19" s="84" t="str">
        <x:f>IF(COUNTA('📥 DADOS BRUTOS'!B19)=0,"",'🧮 MAIA-2 Scores'!E19)</x:f>
      </x:c>
      <x:c r="E19" s="84" t="str">
        <x:f>IF(COUNTA('📥 DADOS BRUTOS'!B19)=0,"",'🧮 MAIA-2 Scores'!F19)</x:f>
      </x:c>
      <x:c r="F19" s="84" t="str">
        <x:f>IF(COUNTA('📥 DADOS BRUTOS'!B19)=0,"",'🧮 MAIA-2 Scores'!G19)</x:f>
      </x:c>
      <x:c r="G19" s="84" t="str">
        <x:f>IF(COUNTA('📥 DADOS BRUTOS'!B19)=0,"",'🧮 MAIA-2 Scores'!H19)</x:f>
      </x:c>
      <x:c r="H19" s="84" t="str">
        <x:f>IF(COUNTA('📥 DADOS BRUTOS'!B19)=0,"",'🧮 MAIA-2 Scores'!I19)</x:f>
      </x:c>
      <x:c r="I19" s="84" t="str">
        <x:f>IF(COUNTA('📥 DADOS BRUTOS'!B19)=0,"",'🧮 MAIA-2 Scores'!J19)</x:f>
      </x:c>
      <x:c r="J19" s="84" t="str">
        <x:f>IF(COUNTA('📥 DADOS BRUTOS'!B19)=0,"",'🧮 MAIA-2 Scores'!K19)</x:f>
      </x:c>
      <x:c r="K19" s="84" t="str">
        <x:f>IF(COUNTA('📥 DADOS BRUTOS'!B19)=0,"",'🧮 MAIA-2 Scores'!L19)</x:f>
      </x:c>
      <x:c r="L19" s="84" t="str">
        <x:f>IF(COUNTA('📥 DADOS BRUTOS'!B19)=0,"",'🧮 MAIA-2 Scores'!M19)</x:f>
      </x:c>
      <x:c r="M19" s="84" t="str">
        <x:f>IF(COUNTA('📥 DADOS BRUTOS'!B19)=0,"",'🧠 FFMQ Scores'!E19)</x:f>
      </x:c>
      <x:c r="N19" s="84" t="str">
        <x:f>IF(COUNTA('📥 DADOS BRUTOS'!B19)=0,"",'🧠 FFMQ Scores'!F19)</x:f>
      </x:c>
      <x:c r="O19" s="84" t="str">
        <x:f>IF(COUNTA('📥 DADOS BRUTOS'!B19)=0,"",'🧠 FFMQ Scores'!G19)</x:f>
      </x:c>
      <x:c r="P19" s="84" t="str">
        <x:f>IF(COUNTA('📥 DADOS BRUTOS'!B19)=0,"",'🧠 FFMQ Scores'!H19)</x:f>
      </x:c>
      <x:c r="Q19" s="84" t="str">
        <x:f>IF(COUNTA('📥 DADOS BRUTOS'!B19)=0,"",'🧠 FFMQ Scores'!I19)</x:f>
      </x:c>
      <x:c r="R19" s="84" t="str">
        <x:f>IF(COUNTA('📥 DADOS BRUTOS'!B19)=0,"",'🧠 FFMQ Scores'!J19)</x:f>
      </x:c>
      <x:c r="S19" s="84" t="str">
        <x:f>IF(COUNTA('📥 DADOS BRUTOS'!B19)=0,"",'🌀 IPS-20 Scores'!E19)</x:f>
      </x:c>
      <x:c r="T19" s="84" t="str">
        <x:f>IF(COUNTA('📥 DADOS BRUTOS'!B19)=0,"",'🌀 IPS-20 Scores'!F19)</x:f>
      </x:c>
      <x:c r="U19" s="84" t="str">
        <x:f>IF(COUNTA('📥 DADOS BRUTOS'!B19)=0,"",'🌀 IPS-20 Scores'!G19)</x:f>
      </x:c>
      <x:c r="V19" s="84" t="str">
        <x:f>IF(COUNTA('📥 DADOS BRUTOS'!B19)=0,"",'🌀 IPS-20 Scores'!H19)</x:f>
      </x:c>
      <x:c r="W19" s="84" t="str">
        <x:f>IF(COUNTA('📥 DADOS BRUTOS'!B19)=0,"",'🌀 IPS-20 Scores'!I19)</x:f>
      </x:c>
      <x:c r="X19" s="84" t="str">
        <x:f>IF(COUNTA('📥 DADOS BRUTOS'!B19)=0,"",'🌀 IPS-20 Scores'!J19)</x:f>
      </x:c>
      <x:c r="Y19" s="30" t="str">
        <x:f>IF(COUNTA('📥 DADOS BRUTOS'!B19)=0,"",'🌀 IPS-20 Scores'!K19)</x:f>
      </x:c>
      <x:c r="Z19" s="84" t="str">
        <x:f>IF(COUNTA('📥 DADOS BRUTOS'!B19)=0,"",'💪 GSES Scores'!E19)</x:f>
      </x:c>
      <x:c r="AA19" s="30" t="str">
        <x:f>IF(COUNTA('📥 DADOS BRUTOS'!B19)=0,"",'💪 GSES Scores'!F19)</x:f>
      </x:c>
      <x:c r="AB19" t="str">
        <x:f>IF(A19="","",COUNTIF($A$2:A19,A19))</x:f>
      </x:c>
      <x:c r="AC19" t="str">
        <x:f t="shared" si="0">IF(A19="","",A19&amp;"|"&amp;AB19)</x:f>
      </x:c>
    </x:row>
    <x:row r="20" ht="18" customHeight="1">
      <x:c r="A20" s="26" t="str">
        <x:f>IF(COUNTA('📥 DADOS BRUTOS'!B20)=0,"",'📥 DADOS BRUTOS'!B20)</x:f>
      </x:c>
      <x:c r="B20" s="26" t="str">
        <x:f>IF(COUNTA('📥 DADOS BRUTOS'!B20)=0,"",'📥 DADOS BRUTOS'!C20)</x:f>
      </x:c>
      <x:c r="C20" s="26" t="str">
        <x:f>IF(COUNTA('📥 DADOS BRUTOS'!B20)=0,"",'📥 DADOS BRUTOS'!D20)</x:f>
      </x:c>
      <x:c r="D20" s="36" t="str">
        <x:f>IF(COUNTA('📥 DADOS BRUTOS'!B20)=0,"",'🧮 MAIA-2 Scores'!E20)</x:f>
      </x:c>
      <x:c r="E20" s="36" t="str">
        <x:f>IF(COUNTA('📥 DADOS BRUTOS'!B20)=0,"",'🧮 MAIA-2 Scores'!F20)</x:f>
      </x:c>
      <x:c r="F20" s="36" t="str">
        <x:f>IF(COUNTA('📥 DADOS BRUTOS'!B20)=0,"",'🧮 MAIA-2 Scores'!G20)</x:f>
      </x:c>
      <x:c r="G20" s="36" t="str">
        <x:f>IF(COUNTA('📥 DADOS BRUTOS'!B20)=0,"",'🧮 MAIA-2 Scores'!H20)</x:f>
      </x:c>
      <x:c r="H20" s="36" t="str">
        <x:f>IF(COUNTA('📥 DADOS BRUTOS'!B20)=0,"",'🧮 MAIA-2 Scores'!I20)</x:f>
      </x:c>
      <x:c r="I20" s="36" t="str">
        <x:f>IF(COUNTA('📥 DADOS BRUTOS'!B20)=0,"",'🧮 MAIA-2 Scores'!J20)</x:f>
      </x:c>
      <x:c r="J20" s="36" t="str">
        <x:f>IF(COUNTA('📥 DADOS BRUTOS'!B20)=0,"",'🧮 MAIA-2 Scores'!K20)</x:f>
      </x:c>
      <x:c r="K20" s="36" t="str">
        <x:f>IF(COUNTA('📥 DADOS BRUTOS'!B20)=0,"",'🧮 MAIA-2 Scores'!L20)</x:f>
      </x:c>
      <x:c r="L20" s="36" t="str">
        <x:f>IF(COUNTA('📥 DADOS BRUTOS'!B20)=0,"",'🧮 MAIA-2 Scores'!M20)</x:f>
      </x:c>
      <x:c r="M20" s="36" t="str">
        <x:f>IF(COUNTA('📥 DADOS BRUTOS'!B20)=0,"",'🧠 FFMQ Scores'!E20)</x:f>
      </x:c>
      <x:c r="N20" s="36" t="str">
        <x:f>IF(COUNTA('📥 DADOS BRUTOS'!B20)=0,"",'🧠 FFMQ Scores'!F20)</x:f>
      </x:c>
      <x:c r="O20" s="36" t="str">
        <x:f>IF(COUNTA('📥 DADOS BRUTOS'!B20)=0,"",'🧠 FFMQ Scores'!G20)</x:f>
      </x:c>
      <x:c r="P20" s="36" t="str">
        <x:f>IF(COUNTA('📥 DADOS BRUTOS'!B20)=0,"",'🧠 FFMQ Scores'!H20)</x:f>
      </x:c>
      <x:c r="Q20" s="36" t="str">
        <x:f>IF(COUNTA('📥 DADOS BRUTOS'!B20)=0,"",'🧠 FFMQ Scores'!I20)</x:f>
      </x:c>
      <x:c r="R20" s="36" t="str">
        <x:f>IF(COUNTA('📥 DADOS BRUTOS'!B20)=0,"",'🧠 FFMQ Scores'!J20)</x:f>
      </x:c>
      <x:c r="S20" s="36" t="str">
        <x:f>IF(COUNTA('📥 DADOS BRUTOS'!B20)=0,"",'🌀 IPS-20 Scores'!E20)</x:f>
      </x:c>
      <x:c r="T20" s="36" t="str">
        <x:f>IF(COUNTA('📥 DADOS BRUTOS'!B20)=0,"",'🌀 IPS-20 Scores'!F20)</x:f>
      </x:c>
      <x:c r="U20" s="36" t="str">
        <x:f>IF(COUNTA('📥 DADOS BRUTOS'!B20)=0,"",'🌀 IPS-20 Scores'!G20)</x:f>
      </x:c>
      <x:c r="V20" s="36" t="str">
        <x:f>IF(COUNTA('📥 DADOS BRUTOS'!B20)=0,"",'🌀 IPS-20 Scores'!H20)</x:f>
      </x:c>
      <x:c r="W20" s="36" t="str">
        <x:f>IF(COUNTA('📥 DADOS BRUTOS'!B20)=0,"",'🌀 IPS-20 Scores'!I20)</x:f>
      </x:c>
      <x:c r="X20" s="36" t="str">
        <x:f>IF(COUNTA('📥 DADOS BRUTOS'!B20)=0,"",'🌀 IPS-20 Scores'!J20)</x:f>
      </x:c>
      <x:c r="Y20" s="26" t="str">
        <x:f>IF(COUNTA('📥 DADOS BRUTOS'!B20)=0,"",'🌀 IPS-20 Scores'!K20)</x:f>
      </x:c>
      <x:c r="Z20" s="36" t="str">
        <x:f>IF(COUNTA('📥 DADOS BRUTOS'!B20)=0,"",'💪 GSES Scores'!E20)</x:f>
      </x:c>
      <x:c r="AA20" s="26" t="str">
        <x:f>IF(COUNTA('📥 DADOS BRUTOS'!B20)=0,"",'💪 GSES Scores'!F20)</x:f>
      </x:c>
      <x:c r="AB20" t="str">
        <x:f>IF(A20="","",COUNTIF($A$2:A20,A20))</x:f>
      </x:c>
      <x:c r="AC20" t="str">
        <x:f t="shared" si="0">IF(A20="","",A20&amp;"|"&amp;AB20)</x:f>
      </x:c>
    </x:row>
    <x:row r="21" ht="18" customHeight="1">
      <x:c r="A21" s="30" t="str">
        <x:f>IF(COUNTA('📥 DADOS BRUTOS'!B21)=0,"",'📥 DADOS BRUTOS'!B21)</x:f>
      </x:c>
      <x:c r="B21" s="30" t="str">
        <x:f>IF(COUNTA('📥 DADOS BRUTOS'!B21)=0,"",'📥 DADOS BRUTOS'!C21)</x:f>
      </x:c>
      <x:c r="C21" s="30" t="str">
        <x:f>IF(COUNTA('📥 DADOS BRUTOS'!B21)=0,"",'📥 DADOS BRUTOS'!D21)</x:f>
      </x:c>
      <x:c r="D21" s="84" t="str">
        <x:f>IF(COUNTA('📥 DADOS BRUTOS'!B21)=0,"",'🧮 MAIA-2 Scores'!E21)</x:f>
      </x:c>
      <x:c r="E21" s="84" t="str">
        <x:f>IF(COUNTA('📥 DADOS BRUTOS'!B21)=0,"",'🧮 MAIA-2 Scores'!F21)</x:f>
      </x:c>
      <x:c r="F21" s="84" t="str">
        <x:f>IF(COUNTA('📥 DADOS BRUTOS'!B21)=0,"",'🧮 MAIA-2 Scores'!G21)</x:f>
      </x:c>
      <x:c r="G21" s="84" t="str">
        <x:f>IF(COUNTA('📥 DADOS BRUTOS'!B21)=0,"",'🧮 MAIA-2 Scores'!H21)</x:f>
      </x:c>
      <x:c r="H21" s="84" t="str">
        <x:f>IF(COUNTA('📥 DADOS BRUTOS'!B21)=0,"",'🧮 MAIA-2 Scores'!I21)</x:f>
      </x:c>
      <x:c r="I21" s="84" t="str">
        <x:f>IF(COUNTA('📥 DADOS BRUTOS'!B21)=0,"",'🧮 MAIA-2 Scores'!J21)</x:f>
      </x:c>
      <x:c r="J21" s="84" t="str">
        <x:f>IF(COUNTA('📥 DADOS BRUTOS'!B21)=0,"",'🧮 MAIA-2 Scores'!K21)</x:f>
      </x:c>
      <x:c r="K21" s="84" t="str">
        <x:f>IF(COUNTA('📥 DADOS BRUTOS'!B21)=0,"",'🧮 MAIA-2 Scores'!L21)</x:f>
      </x:c>
      <x:c r="L21" s="84" t="str">
        <x:f>IF(COUNTA('📥 DADOS BRUTOS'!B21)=0,"",'🧮 MAIA-2 Scores'!M21)</x:f>
      </x:c>
      <x:c r="M21" s="84" t="str">
        <x:f>IF(COUNTA('📥 DADOS BRUTOS'!B21)=0,"",'🧠 FFMQ Scores'!E21)</x:f>
      </x:c>
      <x:c r="N21" s="84" t="str">
        <x:f>IF(COUNTA('📥 DADOS BRUTOS'!B21)=0,"",'🧠 FFMQ Scores'!F21)</x:f>
      </x:c>
      <x:c r="O21" s="84" t="str">
        <x:f>IF(COUNTA('📥 DADOS BRUTOS'!B21)=0,"",'🧠 FFMQ Scores'!G21)</x:f>
      </x:c>
      <x:c r="P21" s="84" t="str">
        <x:f>IF(COUNTA('📥 DADOS BRUTOS'!B21)=0,"",'🧠 FFMQ Scores'!H21)</x:f>
      </x:c>
      <x:c r="Q21" s="84" t="str">
        <x:f>IF(COUNTA('📥 DADOS BRUTOS'!B21)=0,"",'🧠 FFMQ Scores'!I21)</x:f>
      </x:c>
      <x:c r="R21" s="84" t="str">
        <x:f>IF(COUNTA('📥 DADOS BRUTOS'!B21)=0,"",'🧠 FFMQ Scores'!J21)</x:f>
      </x:c>
      <x:c r="S21" s="84" t="str">
        <x:f>IF(COUNTA('📥 DADOS BRUTOS'!B21)=0,"",'🌀 IPS-20 Scores'!E21)</x:f>
      </x:c>
      <x:c r="T21" s="84" t="str">
        <x:f>IF(COUNTA('📥 DADOS BRUTOS'!B21)=0,"",'🌀 IPS-20 Scores'!F21)</x:f>
      </x:c>
      <x:c r="U21" s="84" t="str">
        <x:f>IF(COUNTA('📥 DADOS BRUTOS'!B21)=0,"",'🌀 IPS-20 Scores'!G21)</x:f>
      </x:c>
      <x:c r="V21" s="84" t="str">
        <x:f>IF(COUNTA('📥 DADOS BRUTOS'!B21)=0,"",'🌀 IPS-20 Scores'!H21)</x:f>
      </x:c>
      <x:c r="W21" s="84" t="str">
        <x:f>IF(COUNTA('📥 DADOS BRUTOS'!B21)=0,"",'🌀 IPS-20 Scores'!I21)</x:f>
      </x:c>
      <x:c r="X21" s="84" t="str">
        <x:f>IF(COUNTA('📥 DADOS BRUTOS'!B21)=0,"",'🌀 IPS-20 Scores'!J21)</x:f>
      </x:c>
      <x:c r="Y21" s="30" t="str">
        <x:f>IF(COUNTA('📥 DADOS BRUTOS'!B21)=0,"",'🌀 IPS-20 Scores'!K21)</x:f>
      </x:c>
      <x:c r="Z21" s="84" t="str">
        <x:f>IF(COUNTA('📥 DADOS BRUTOS'!B21)=0,"",'💪 GSES Scores'!E21)</x:f>
      </x:c>
      <x:c r="AA21" s="30" t="str">
        <x:f>IF(COUNTA('📥 DADOS BRUTOS'!B21)=0,"",'💪 GSES Scores'!F21)</x:f>
      </x:c>
      <x:c r="AB21" t="str">
        <x:f>IF(A21="","",COUNTIF($A$2:A21,A21))</x:f>
      </x:c>
      <x:c r="AC21" t="str">
        <x:f t="shared" si="0">IF(A21="","",A21&amp;"|"&amp;AB21)</x:f>
      </x:c>
    </x:row>
    <x:row r="22" ht="18" customHeight="1">
      <x:c r="A22" s="26" t="str">
        <x:f>IF(COUNTA('📥 DADOS BRUTOS'!B22)=0,"",'📥 DADOS BRUTOS'!B22)</x:f>
      </x:c>
      <x:c r="B22" s="26" t="str">
        <x:f>IF(COUNTA('📥 DADOS BRUTOS'!B22)=0,"",'📥 DADOS BRUTOS'!C22)</x:f>
      </x:c>
      <x:c r="C22" s="26" t="str">
        <x:f>IF(COUNTA('📥 DADOS BRUTOS'!B22)=0,"",'📥 DADOS BRUTOS'!D22)</x:f>
      </x:c>
      <x:c r="D22" s="36" t="str">
        <x:f>IF(COUNTA('📥 DADOS BRUTOS'!B22)=0,"",'🧮 MAIA-2 Scores'!E22)</x:f>
      </x:c>
      <x:c r="E22" s="36" t="str">
        <x:f>IF(COUNTA('📥 DADOS BRUTOS'!B22)=0,"",'🧮 MAIA-2 Scores'!F22)</x:f>
      </x:c>
      <x:c r="F22" s="36" t="str">
        <x:f>IF(COUNTA('📥 DADOS BRUTOS'!B22)=0,"",'🧮 MAIA-2 Scores'!G22)</x:f>
      </x:c>
      <x:c r="G22" s="36" t="str">
        <x:f>IF(COUNTA('📥 DADOS BRUTOS'!B22)=0,"",'🧮 MAIA-2 Scores'!H22)</x:f>
      </x:c>
      <x:c r="H22" s="36" t="str">
        <x:f>IF(COUNTA('📥 DADOS BRUTOS'!B22)=0,"",'🧮 MAIA-2 Scores'!I22)</x:f>
      </x:c>
      <x:c r="I22" s="36" t="str">
        <x:f>IF(COUNTA('📥 DADOS BRUTOS'!B22)=0,"",'🧮 MAIA-2 Scores'!J22)</x:f>
      </x:c>
      <x:c r="J22" s="36" t="str">
        <x:f>IF(COUNTA('📥 DADOS BRUTOS'!B22)=0,"",'🧮 MAIA-2 Scores'!K22)</x:f>
      </x:c>
      <x:c r="K22" s="36" t="str">
        <x:f>IF(COUNTA('📥 DADOS BRUTOS'!B22)=0,"",'🧮 MAIA-2 Scores'!L22)</x:f>
      </x:c>
      <x:c r="L22" s="36" t="str">
        <x:f>IF(COUNTA('📥 DADOS BRUTOS'!B22)=0,"",'🧮 MAIA-2 Scores'!M22)</x:f>
      </x:c>
      <x:c r="M22" s="36" t="str">
        <x:f>IF(COUNTA('📥 DADOS BRUTOS'!B22)=0,"",'🧠 FFMQ Scores'!E22)</x:f>
      </x:c>
      <x:c r="N22" s="36" t="str">
        <x:f>IF(COUNTA('📥 DADOS BRUTOS'!B22)=0,"",'🧠 FFMQ Scores'!F22)</x:f>
      </x:c>
      <x:c r="O22" s="36" t="str">
        <x:f>IF(COUNTA('📥 DADOS BRUTOS'!B22)=0,"",'🧠 FFMQ Scores'!G22)</x:f>
      </x:c>
      <x:c r="P22" s="36" t="str">
        <x:f>IF(COUNTA('📥 DADOS BRUTOS'!B22)=0,"",'🧠 FFMQ Scores'!H22)</x:f>
      </x:c>
      <x:c r="Q22" s="36" t="str">
        <x:f>IF(COUNTA('📥 DADOS BRUTOS'!B22)=0,"",'🧠 FFMQ Scores'!I22)</x:f>
      </x:c>
      <x:c r="R22" s="36" t="str">
        <x:f>IF(COUNTA('📥 DADOS BRUTOS'!B22)=0,"",'🧠 FFMQ Scores'!J22)</x:f>
      </x:c>
      <x:c r="S22" s="36" t="str">
        <x:f>IF(COUNTA('📥 DADOS BRUTOS'!B22)=0,"",'🌀 IPS-20 Scores'!E22)</x:f>
      </x:c>
      <x:c r="T22" s="36" t="str">
        <x:f>IF(COUNTA('📥 DADOS BRUTOS'!B22)=0,"",'🌀 IPS-20 Scores'!F22)</x:f>
      </x:c>
      <x:c r="U22" s="36" t="str">
        <x:f>IF(COUNTA('📥 DADOS BRUTOS'!B22)=0,"",'🌀 IPS-20 Scores'!G22)</x:f>
      </x:c>
      <x:c r="V22" s="36" t="str">
        <x:f>IF(COUNTA('📥 DADOS BRUTOS'!B22)=0,"",'🌀 IPS-20 Scores'!H22)</x:f>
      </x:c>
      <x:c r="W22" s="36" t="str">
        <x:f>IF(COUNTA('📥 DADOS BRUTOS'!B22)=0,"",'🌀 IPS-20 Scores'!I22)</x:f>
      </x:c>
      <x:c r="X22" s="36" t="str">
        <x:f>IF(COUNTA('📥 DADOS BRUTOS'!B22)=0,"",'🌀 IPS-20 Scores'!J22)</x:f>
      </x:c>
      <x:c r="Y22" s="26" t="str">
        <x:f>IF(COUNTA('📥 DADOS BRUTOS'!B22)=0,"",'🌀 IPS-20 Scores'!K22)</x:f>
      </x:c>
      <x:c r="Z22" s="36" t="str">
        <x:f>IF(COUNTA('📥 DADOS BRUTOS'!B22)=0,"",'💪 GSES Scores'!E22)</x:f>
      </x:c>
      <x:c r="AA22" s="26" t="str">
        <x:f>IF(COUNTA('📥 DADOS BRUTOS'!B22)=0,"",'💪 GSES Scores'!F22)</x:f>
      </x:c>
      <x:c r="AB22" t="str">
        <x:f>IF(A22="","",COUNTIF($A$2:A22,A22))</x:f>
      </x:c>
      <x:c r="AC22" t="str">
        <x:f t="shared" si="0">IF(A22="","",A22&amp;"|"&amp;AB22)</x:f>
      </x:c>
    </x:row>
    <x:row r="23" ht="18" customHeight="1">
      <x:c r="A23" s="30" t="str">
        <x:f>IF(COUNTA('📥 DADOS BRUTOS'!B23)=0,"",'📥 DADOS BRUTOS'!B23)</x:f>
      </x:c>
      <x:c r="B23" s="30" t="str">
        <x:f>IF(COUNTA('📥 DADOS BRUTOS'!B23)=0,"",'📥 DADOS BRUTOS'!C23)</x:f>
      </x:c>
      <x:c r="C23" s="30" t="str">
        <x:f>IF(COUNTA('📥 DADOS BRUTOS'!B23)=0,"",'📥 DADOS BRUTOS'!D23)</x:f>
      </x:c>
      <x:c r="D23" s="84" t="str">
        <x:f>IF(COUNTA('📥 DADOS BRUTOS'!B23)=0,"",'🧮 MAIA-2 Scores'!E23)</x:f>
      </x:c>
      <x:c r="E23" s="84" t="str">
        <x:f>IF(COUNTA('📥 DADOS BRUTOS'!B23)=0,"",'🧮 MAIA-2 Scores'!F23)</x:f>
      </x:c>
      <x:c r="F23" s="84" t="str">
        <x:f>IF(COUNTA('📥 DADOS BRUTOS'!B23)=0,"",'🧮 MAIA-2 Scores'!G23)</x:f>
      </x:c>
      <x:c r="G23" s="84" t="str">
        <x:f>IF(COUNTA('📥 DADOS BRUTOS'!B23)=0,"",'🧮 MAIA-2 Scores'!H23)</x:f>
      </x:c>
      <x:c r="H23" s="84" t="str">
        <x:f>IF(COUNTA('📥 DADOS BRUTOS'!B23)=0,"",'🧮 MAIA-2 Scores'!I23)</x:f>
      </x:c>
      <x:c r="I23" s="84" t="str">
        <x:f>IF(COUNTA('📥 DADOS BRUTOS'!B23)=0,"",'🧮 MAIA-2 Scores'!J23)</x:f>
      </x:c>
      <x:c r="J23" s="84" t="str">
        <x:f>IF(COUNTA('📥 DADOS BRUTOS'!B23)=0,"",'🧮 MAIA-2 Scores'!K23)</x:f>
      </x:c>
      <x:c r="K23" s="84" t="str">
        <x:f>IF(COUNTA('📥 DADOS BRUTOS'!B23)=0,"",'🧮 MAIA-2 Scores'!L23)</x:f>
      </x:c>
      <x:c r="L23" s="84" t="str">
        <x:f>IF(COUNTA('📥 DADOS BRUTOS'!B23)=0,"",'🧮 MAIA-2 Scores'!M23)</x:f>
      </x:c>
      <x:c r="M23" s="84" t="str">
        <x:f>IF(COUNTA('📥 DADOS BRUTOS'!B23)=0,"",'🧠 FFMQ Scores'!E23)</x:f>
      </x:c>
      <x:c r="N23" s="84" t="str">
        <x:f>IF(COUNTA('📥 DADOS BRUTOS'!B23)=0,"",'🧠 FFMQ Scores'!F23)</x:f>
      </x:c>
      <x:c r="O23" s="84" t="str">
        <x:f>IF(COUNTA('📥 DADOS BRUTOS'!B23)=0,"",'🧠 FFMQ Scores'!G23)</x:f>
      </x:c>
      <x:c r="P23" s="84" t="str">
        <x:f>IF(COUNTA('📥 DADOS BRUTOS'!B23)=0,"",'🧠 FFMQ Scores'!H23)</x:f>
      </x:c>
      <x:c r="Q23" s="84" t="str">
        <x:f>IF(COUNTA('📥 DADOS BRUTOS'!B23)=0,"",'🧠 FFMQ Scores'!I23)</x:f>
      </x:c>
      <x:c r="R23" s="84" t="str">
        <x:f>IF(COUNTA('📥 DADOS BRUTOS'!B23)=0,"",'🧠 FFMQ Scores'!J23)</x:f>
      </x:c>
      <x:c r="S23" s="84" t="str">
        <x:f>IF(COUNTA('📥 DADOS BRUTOS'!B23)=0,"",'🌀 IPS-20 Scores'!E23)</x:f>
      </x:c>
      <x:c r="T23" s="84" t="str">
        <x:f>IF(COUNTA('📥 DADOS BRUTOS'!B23)=0,"",'🌀 IPS-20 Scores'!F23)</x:f>
      </x:c>
      <x:c r="U23" s="84" t="str">
        <x:f>IF(COUNTA('📥 DADOS BRUTOS'!B23)=0,"",'🌀 IPS-20 Scores'!G23)</x:f>
      </x:c>
      <x:c r="V23" s="84" t="str">
        <x:f>IF(COUNTA('📥 DADOS BRUTOS'!B23)=0,"",'🌀 IPS-20 Scores'!H23)</x:f>
      </x:c>
      <x:c r="W23" s="84" t="str">
        <x:f>IF(COUNTA('📥 DADOS BRUTOS'!B23)=0,"",'🌀 IPS-20 Scores'!I23)</x:f>
      </x:c>
      <x:c r="X23" s="84" t="str">
        <x:f>IF(COUNTA('📥 DADOS BRUTOS'!B23)=0,"",'🌀 IPS-20 Scores'!J23)</x:f>
      </x:c>
      <x:c r="Y23" s="30" t="str">
        <x:f>IF(COUNTA('📥 DADOS BRUTOS'!B23)=0,"",'🌀 IPS-20 Scores'!K23)</x:f>
      </x:c>
      <x:c r="Z23" s="84" t="str">
        <x:f>IF(COUNTA('📥 DADOS BRUTOS'!B23)=0,"",'💪 GSES Scores'!E23)</x:f>
      </x:c>
      <x:c r="AA23" s="30" t="str">
        <x:f>IF(COUNTA('📥 DADOS BRUTOS'!B23)=0,"",'💪 GSES Scores'!F23)</x:f>
      </x:c>
      <x:c r="AB23" t="str">
        <x:f>IF(A23="","",COUNTIF($A$2:A23,A23))</x:f>
      </x:c>
      <x:c r="AC23" t="str">
        <x:f t="shared" si="0">IF(A23="","",A23&amp;"|"&amp;AB23)</x:f>
      </x:c>
    </x:row>
    <x:row r="24" ht="18" customHeight="1">
      <x:c r="A24" s="26" t="str">
        <x:f>IF(COUNTA('📥 DADOS BRUTOS'!B24)=0,"",'📥 DADOS BRUTOS'!B24)</x:f>
      </x:c>
      <x:c r="B24" s="26" t="str">
        <x:f>IF(COUNTA('📥 DADOS BRUTOS'!B24)=0,"",'📥 DADOS BRUTOS'!C24)</x:f>
      </x:c>
      <x:c r="C24" s="26" t="str">
        <x:f>IF(COUNTA('📥 DADOS BRUTOS'!B24)=0,"",'📥 DADOS BRUTOS'!D24)</x:f>
      </x:c>
      <x:c r="D24" s="36" t="str">
        <x:f>IF(COUNTA('📥 DADOS BRUTOS'!B24)=0,"",'🧮 MAIA-2 Scores'!E24)</x:f>
      </x:c>
      <x:c r="E24" s="36" t="str">
        <x:f>IF(COUNTA('📥 DADOS BRUTOS'!B24)=0,"",'🧮 MAIA-2 Scores'!F24)</x:f>
      </x:c>
      <x:c r="F24" s="36" t="str">
        <x:f>IF(COUNTA('📥 DADOS BRUTOS'!B24)=0,"",'🧮 MAIA-2 Scores'!G24)</x:f>
      </x:c>
      <x:c r="G24" s="36" t="str">
        <x:f>IF(COUNTA('📥 DADOS BRUTOS'!B24)=0,"",'🧮 MAIA-2 Scores'!H24)</x:f>
      </x:c>
      <x:c r="H24" s="36" t="str">
        <x:f>IF(COUNTA('📥 DADOS BRUTOS'!B24)=0,"",'🧮 MAIA-2 Scores'!I24)</x:f>
      </x:c>
      <x:c r="I24" s="36" t="str">
        <x:f>IF(COUNTA('📥 DADOS BRUTOS'!B24)=0,"",'🧮 MAIA-2 Scores'!J24)</x:f>
      </x:c>
      <x:c r="J24" s="36" t="str">
        <x:f>IF(COUNTA('📥 DADOS BRUTOS'!B24)=0,"",'🧮 MAIA-2 Scores'!K24)</x:f>
      </x:c>
      <x:c r="K24" s="36" t="str">
        <x:f>IF(COUNTA('📥 DADOS BRUTOS'!B24)=0,"",'🧮 MAIA-2 Scores'!L24)</x:f>
      </x:c>
      <x:c r="L24" s="36" t="str">
        <x:f>IF(COUNTA('📥 DADOS BRUTOS'!B24)=0,"",'🧮 MAIA-2 Scores'!M24)</x:f>
      </x:c>
      <x:c r="M24" s="36" t="str">
        <x:f>IF(COUNTA('📥 DADOS BRUTOS'!B24)=0,"",'🧠 FFMQ Scores'!E24)</x:f>
      </x:c>
      <x:c r="N24" s="36" t="str">
        <x:f>IF(COUNTA('📥 DADOS BRUTOS'!B24)=0,"",'🧠 FFMQ Scores'!F24)</x:f>
      </x:c>
      <x:c r="O24" s="36" t="str">
        <x:f>IF(COUNTA('📥 DADOS BRUTOS'!B24)=0,"",'🧠 FFMQ Scores'!G24)</x:f>
      </x:c>
      <x:c r="P24" s="36" t="str">
        <x:f>IF(COUNTA('📥 DADOS BRUTOS'!B24)=0,"",'🧠 FFMQ Scores'!H24)</x:f>
      </x:c>
      <x:c r="Q24" s="36" t="str">
        <x:f>IF(COUNTA('📥 DADOS BRUTOS'!B24)=0,"",'🧠 FFMQ Scores'!I24)</x:f>
      </x:c>
      <x:c r="R24" s="36" t="str">
        <x:f>IF(COUNTA('📥 DADOS BRUTOS'!B24)=0,"",'🧠 FFMQ Scores'!J24)</x:f>
      </x:c>
      <x:c r="S24" s="36" t="str">
        <x:f>IF(COUNTA('📥 DADOS BRUTOS'!B24)=0,"",'🌀 IPS-20 Scores'!E24)</x:f>
      </x:c>
      <x:c r="T24" s="36" t="str">
        <x:f>IF(COUNTA('📥 DADOS BRUTOS'!B24)=0,"",'🌀 IPS-20 Scores'!F24)</x:f>
      </x:c>
      <x:c r="U24" s="36" t="str">
        <x:f>IF(COUNTA('📥 DADOS BRUTOS'!B24)=0,"",'🌀 IPS-20 Scores'!G24)</x:f>
      </x:c>
      <x:c r="V24" s="36" t="str">
        <x:f>IF(COUNTA('📥 DADOS BRUTOS'!B24)=0,"",'🌀 IPS-20 Scores'!H24)</x:f>
      </x:c>
      <x:c r="W24" s="36" t="str">
        <x:f>IF(COUNTA('📥 DADOS BRUTOS'!B24)=0,"",'🌀 IPS-20 Scores'!I24)</x:f>
      </x:c>
      <x:c r="X24" s="36" t="str">
        <x:f>IF(COUNTA('📥 DADOS BRUTOS'!B24)=0,"",'🌀 IPS-20 Scores'!J24)</x:f>
      </x:c>
      <x:c r="Y24" s="26" t="str">
        <x:f>IF(COUNTA('📥 DADOS BRUTOS'!B24)=0,"",'🌀 IPS-20 Scores'!K24)</x:f>
      </x:c>
      <x:c r="Z24" s="36" t="str">
        <x:f>IF(COUNTA('📥 DADOS BRUTOS'!B24)=0,"",'💪 GSES Scores'!E24)</x:f>
      </x:c>
      <x:c r="AA24" s="26" t="str">
        <x:f>IF(COUNTA('📥 DADOS BRUTOS'!B24)=0,"",'💪 GSES Scores'!F24)</x:f>
      </x:c>
      <x:c r="AB24" t="str">
        <x:f>IF(A24="","",COUNTIF($A$2:A24,A24))</x:f>
      </x:c>
      <x:c r="AC24" t="str">
        <x:f t="shared" si="0">IF(A24="","",A24&amp;"|"&amp;AB24)</x:f>
      </x:c>
    </x:row>
    <x:row r="25" ht="18" customHeight="1">
      <x:c r="A25" s="30" t="str">
        <x:f>IF(COUNTA('📥 DADOS BRUTOS'!B25)=0,"",'📥 DADOS BRUTOS'!B25)</x:f>
      </x:c>
      <x:c r="B25" s="30" t="str">
        <x:f>IF(COUNTA('📥 DADOS BRUTOS'!B25)=0,"",'📥 DADOS BRUTOS'!C25)</x:f>
      </x:c>
      <x:c r="C25" s="30" t="str">
        <x:f>IF(COUNTA('📥 DADOS BRUTOS'!B25)=0,"",'📥 DADOS BRUTOS'!D25)</x:f>
      </x:c>
      <x:c r="D25" s="84" t="str">
        <x:f>IF(COUNTA('📥 DADOS BRUTOS'!B25)=0,"",'🧮 MAIA-2 Scores'!E25)</x:f>
      </x:c>
      <x:c r="E25" s="84" t="str">
        <x:f>IF(COUNTA('📥 DADOS BRUTOS'!B25)=0,"",'🧮 MAIA-2 Scores'!F25)</x:f>
      </x:c>
      <x:c r="F25" s="84" t="str">
        <x:f>IF(COUNTA('📥 DADOS BRUTOS'!B25)=0,"",'🧮 MAIA-2 Scores'!G25)</x:f>
      </x:c>
      <x:c r="G25" s="84" t="str">
        <x:f>IF(COUNTA('📥 DADOS BRUTOS'!B25)=0,"",'🧮 MAIA-2 Scores'!H25)</x:f>
      </x:c>
      <x:c r="H25" s="84" t="str">
        <x:f>IF(COUNTA('📥 DADOS BRUTOS'!B25)=0,"",'🧮 MAIA-2 Scores'!I25)</x:f>
      </x:c>
      <x:c r="I25" s="84" t="str">
        <x:f>IF(COUNTA('📥 DADOS BRUTOS'!B25)=0,"",'🧮 MAIA-2 Scores'!J25)</x:f>
      </x:c>
      <x:c r="J25" s="84" t="str">
        <x:f>IF(COUNTA('📥 DADOS BRUTOS'!B25)=0,"",'🧮 MAIA-2 Scores'!K25)</x:f>
      </x:c>
      <x:c r="K25" s="84" t="str">
        <x:f>IF(COUNTA('📥 DADOS BRUTOS'!B25)=0,"",'🧮 MAIA-2 Scores'!L25)</x:f>
      </x:c>
      <x:c r="L25" s="84" t="str">
        <x:f>IF(COUNTA('📥 DADOS BRUTOS'!B25)=0,"",'🧮 MAIA-2 Scores'!M25)</x:f>
      </x:c>
      <x:c r="M25" s="84" t="str">
        <x:f>IF(COUNTA('📥 DADOS BRUTOS'!B25)=0,"",'🧠 FFMQ Scores'!E25)</x:f>
      </x:c>
      <x:c r="N25" s="84" t="str">
        <x:f>IF(COUNTA('📥 DADOS BRUTOS'!B25)=0,"",'🧠 FFMQ Scores'!F25)</x:f>
      </x:c>
      <x:c r="O25" s="84" t="str">
        <x:f>IF(COUNTA('📥 DADOS BRUTOS'!B25)=0,"",'🧠 FFMQ Scores'!G25)</x:f>
      </x:c>
      <x:c r="P25" s="84" t="str">
        <x:f>IF(COUNTA('📥 DADOS BRUTOS'!B25)=0,"",'🧠 FFMQ Scores'!H25)</x:f>
      </x:c>
      <x:c r="Q25" s="84" t="str">
        <x:f>IF(COUNTA('📥 DADOS BRUTOS'!B25)=0,"",'🧠 FFMQ Scores'!I25)</x:f>
      </x:c>
      <x:c r="R25" s="84" t="str">
        <x:f>IF(COUNTA('📥 DADOS BRUTOS'!B25)=0,"",'🧠 FFMQ Scores'!J25)</x:f>
      </x:c>
      <x:c r="S25" s="84" t="str">
        <x:f>IF(COUNTA('📥 DADOS BRUTOS'!B25)=0,"",'🌀 IPS-20 Scores'!E25)</x:f>
      </x:c>
      <x:c r="T25" s="84" t="str">
        <x:f>IF(COUNTA('📥 DADOS BRUTOS'!B25)=0,"",'🌀 IPS-20 Scores'!F25)</x:f>
      </x:c>
      <x:c r="U25" s="84" t="str">
        <x:f>IF(COUNTA('📥 DADOS BRUTOS'!B25)=0,"",'🌀 IPS-20 Scores'!G25)</x:f>
      </x:c>
      <x:c r="V25" s="84" t="str">
        <x:f>IF(COUNTA('📥 DADOS BRUTOS'!B25)=0,"",'🌀 IPS-20 Scores'!H25)</x:f>
      </x:c>
      <x:c r="W25" s="84" t="str">
        <x:f>IF(COUNTA('📥 DADOS BRUTOS'!B25)=0,"",'🌀 IPS-20 Scores'!I25)</x:f>
      </x:c>
      <x:c r="X25" s="84" t="str">
        <x:f>IF(COUNTA('📥 DADOS BRUTOS'!B25)=0,"",'🌀 IPS-20 Scores'!J25)</x:f>
      </x:c>
      <x:c r="Y25" s="30" t="str">
        <x:f>IF(COUNTA('📥 DADOS BRUTOS'!B25)=0,"",'🌀 IPS-20 Scores'!K25)</x:f>
      </x:c>
      <x:c r="Z25" s="84" t="str">
        <x:f>IF(COUNTA('📥 DADOS BRUTOS'!B25)=0,"",'💪 GSES Scores'!E25)</x:f>
      </x:c>
      <x:c r="AA25" s="30" t="str">
        <x:f>IF(COUNTA('📥 DADOS BRUTOS'!B25)=0,"",'💪 GSES Scores'!F25)</x:f>
      </x:c>
      <x:c r="AB25" t="str">
        <x:f>IF(A25="","",COUNTIF($A$2:A25,A25))</x:f>
      </x:c>
      <x:c r="AC25" t="str">
        <x:f t="shared" si="0">IF(A25="","",A25&amp;"|"&amp;AB25)</x:f>
      </x:c>
    </x:row>
    <x:row r="26" ht="18" customHeight="1">
      <x:c r="A26" s="26" t="str">
        <x:f>IF(COUNTA('📥 DADOS BRUTOS'!B26)=0,"",'📥 DADOS BRUTOS'!B26)</x:f>
      </x:c>
      <x:c r="B26" s="26" t="str">
        <x:f>IF(COUNTA('📥 DADOS BRUTOS'!B26)=0,"",'📥 DADOS BRUTOS'!C26)</x:f>
      </x:c>
      <x:c r="C26" s="26" t="str">
        <x:f>IF(COUNTA('📥 DADOS BRUTOS'!B26)=0,"",'📥 DADOS BRUTOS'!D26)</x:f>
      </x:c>
      <x:c r="D26" s="36" t="str">
        <x:f>IF(COUNTA('📥 DADOS BRUTOS'!B26)=0,"",'🧮 MAIA-2 Scores'!E26)</x:f>
      </x:c>
      <x:c r="E26" s="36" t="str">
        <x:f>IF(COUNTA('📥 DADOS BRUTOS'!B26)=0,"",'🧮 MAIA-2 Scores'!F26)</x:f>
      </x:c>
      <x:c r="F26" s="36" t="str">
        <x:f>IF(COUNTA('📥 DADOS BRUTOS'!B26)=0,"",'🧮 MAIA-2 Scores'!G26)</x:f>
      </x:c>
      <x:c r="G26" s="36" t="str">
        <x:f>IF(COUNTA('📥 DADOS BRUTOS'!B26)=0,"",'🧮 MAIA-2 Scores'!H26)</x:f>
      </x:c>
      <x:c r="H26" s="36" t="str">
        <x:f>IF(COUNTA('📥 DADOS BRUTOS'!B26)=0,"",'🧮 MAIA-2 Scores'!I26)</x:f>
      </x:c>
      <x:c r="I26" s="36" t="str">
        <x:f>IF(COUNTA('📥 DADOS BRUTOS'!B26)=0,"",'🧮 MAIA-2 Scores'!J26)</x:f>
      </x:c>
      <x:c r="J26" s="36" t="str">
        <x:f>IF(COUNTA('📥 DADOS BRUTOS'!B26)=0,"",'🧮 MAIA-2 Scores'!K26)</x:f>
      </x:c>
      <x:c r="K26" s="36" t="str">
        <x:f>IF(COUNTA('📥 DADOS BRUTOS'!B26)=0,"",'🧮 MAIA-2 Scores'!L26)</x:f>
      </x:c>
      <x:c r="L26" s="36" t="str">
        <x:f>IF(COUNTA('📥 DADOS BRUTOS'!B26)=0,"",'🧮 MAIA-2 Scores'!M26)</x:f>
      </x:c>
      <x:c r="M26" s="36" t="str">
        <x:f>IF(COUNTA('📥 DADOS BRUTOS'!B26)=0,"",'🧠 FFMQ Scores'!E26)</x:f>
      </x:c>
      <x:c r="N26" s="36" t="str">
        <x:f>IF(COUNTA('📥 DADOS BRUTOS'!B26)=0,"",'🧠 FFMQ Scores'!F26)</x:f>
      </x:c>
      <x:c r="O26" s="36" t="str">
        <x:f>IF(COUNTA('📥 DADOS BRUTOS'!B26)=0,"",'🧠 FFMQ Scores'!G26)</x:f>
      </x:c>
      <x:c r="P26" s="36" t="str">
        <x:f>IF(COUNTA('📥 DADOS BRUTOS'!B26)=0,"",'🧠 FFMQ Scores'!H26)</x:f>
      </x:c>
      <x:c r="Q26" s="36" t="str">
        <x:f>IF(COUNTA('📥 DADOS BRUTOS'!B26)=0,"",'🧠 FFMQ Scores'!I26)</x:f>
      </x:c>
      <x:c r="R26" s="36" t="str">
        <x:f>IF(COUNTA('📥 DADOS BRUTOS'!B26)=0,"",'🧠 FFMQ Scores'!J26)</x:f>
      </x:c>
      <x:c r="S26" s="36" t="str">
        <x:f>IF(COUNTA('📥 DADOS BRUTOS'!B26)=0,"",'🌀 IPS-20 Scores'!E26)</x:f>
      </x:c>
      <x:c r="T26" s="36" t="str">
        <x:f>IF(COUNTA('📥 DADOS BRUTOS'!B26)=0,"",'🌀 IPS-20 Scores'!F26)</x:f>
      </x:c>
      <x:c r="U26" s="36" t="str">
        <x:f>IF(COUNTA('📥 DADOS BRUTOS'!B26)=0,"",'🌀 IPS-20 Scores'!G26)</x:f>
      </x:c>
      <x:c r="V26" s="36" t="str">
        <x:f>IF(COUNTA('📥 DADOS BRUTOS'!B26)=0,"",'🌀 IPS-20 Scores'!H26)</x:f>
      </x:c>
      <x:c r="W26" s="36" t="str">
        <x:f>IF(COUNTA('📥 DADOS BRUTOS'!B26)=0,"",'🌀 IPS-20 Scores'!I26)</x:f>
      </x:c>
      <x:c r="X26" s="36" t="str">
        <x:f>IF(COUNTA('📥 DADOS BRUTOS'!B26)=0,"",'🌀 IPS-20 Scores'!J26)</x:f>
      </x:c>
      <x:c r="Y26" s="26" t="str">
        <x:f>IF(COUNTA('📥 DADOS BRUTOS'!B26)=0,"",'🌀 IPS-20 Scores'!K26)</x:f>
      </x:c>
      <x:c r="Z26" s="36" t="str">
        <x:f>IF(COUNTA('📥 DADOS BRUTOS'!B26)=0,"",'💪 GSES Scores'!E26)</x:f>
      </x:c>
      <x:c r="AA26" s="26" t="str">
        <x:f>IF(COUNTA('📥 DADOS BRUTOS'!B26)=0,"",'💪 GSES Scores'!F26)</x:f>
      </x:c>
      <x:c r="AB26" t="str">
        <x:f>IF(A26="","",COUNTIF($A$2:A26,A26))</x:f>
      </x:c>
      <x:c r="AC26" t="str">
        <x:f t="shared" si="0">IF(A26="","",A26&amp;"|"&amp;AB26)</x:f>
      </x:c>
    </x:row>
    <x:row r="27" ht="18" customHeight="1">
      <x:c r="A27" s="30" t="str">
        <x:f>IF(COUNTA('📥 DADOS BRUTOS'!B27)=0,"",'📥 DADOS BRUTOS'!B27)</x:f>
      </x:c>
      <x:c r="B27" s="30" t="str">
        <x:f>IF(COUNTA('📥 DADOS BRUTOS'!B27)=0,"",'📥 DADOS BRUTOS'!C27)</x:f>
      </x:c>
      <x:c r="C27" s="30" t="str">
        <x:f>IF(COUNTA('📥 DADOS BRUTOS'!B27)=0,"",'📥 DADOS BRUTOS'!D27)</x:f>
      </x:c>
      <x:c r="D27" s="84" t="str">
        <x:f>IF(COUNTA('📥 DADOS BRUTOS'!B27)=0,"",'🧮 MAIA-2 Scores'!E27)</x:f>
      </x:c>
      <x:c r="E27" s="84" t="str">
        <x:f>IF(COUNTA('📥 DADOS BRUTOS'!B27)=0,"",'🧮 MAIA-2 Scores'!F27)</x:f>
      </x:c>
      <x:c r="F27" s="84" t="str">
        <x:f>IF(COUNTA('📥 DADOS BRUTOS'!B27)=0,"",'🧮 MAIA-2 Scores'!G27)</x:f>
      </x:c>
      <x:c r="G27" s="84" t="str">
        <x:f>IF(COUNTA('📥 DADOS BRUTOS'!B27)=0,"",'🧮 MAIA-2 Scores'!H27)</x:f>
      </x:c>
      <x:c r="H27" s="84" t="str">
        <x:f>IF(COUNTA('📥 DADOS BRUTOS'!B27)=0,"",'🧮 MAIA-2 Scores'!I27)</x:f>
      </x:c>
      <x:c r="I27" s="84" t="str">
        <x:f>IF(COUNTA('📥 DADOS BRUTOS'!B27)=0,"",'🧮 MAIA-2 Scores'!J27)</x:f>
      </x:c>
      <x:c r="J27" s="84" t="str">
        <x:f>IF(COUNTA('📥 DADOS BRUTOS'!B27)=0,"",'🧮 MAIA-2 Scores'!K27)</x:f>
      </x:c>
      <x:c r="K27" s="84" t="str">
        <x:f>IF(COUNTA('📥 DADOS BRUTOS'!B27)=0,"",'🧮 MAIA-2 Scores'!L27)</x:f>
      </x:c>
      <x:c r="L27" s="84" t="str">
        <x:f>IF(COUNTA('📥 DADOS BRUTOS'!B27)=0,"",'🧮 MAIA-2 Scores'!M27)</x:f>
      </x:c>
      <x:c r="M27" s="84" t="str">
        <x:f>IF(COUNTA('📥 DADOS BRUTOS'!B27)=0,"",'🧠 FFMQ Scores'!E27)</x:f>
      </x:c>
      <x:c r="N27" s="84" t="str">
        <x:f>IF(COUNTA('📥 DADOS BRUTOS'!B27)=0,"",'🧠 FFMQ Scores'!F27)</x:f>
      </x:c>
      <x:c r="O27" s="84" t="str">
        <x:f>IF(COUNTA('📥 DADOS BRUTOS'!B27)=0,"",'🧠 FFMQ Scores'!G27)</x:f>
      </x:c>
      <x:c r="P27" s="84" t="str">
        <x:f>IF(COUNTA('📥 DADOS BRUTOS'!B27)=0,"",'🧠 FFMQ Scores'!H27)</x:f>
      </x:c>
      <x:c r="Q27" s="84" t="str">
        <x:f>IF(COUNTA('📥 DADOS BRUTOS'!B27)=0,"",'🧠 FFMQ Scores'!I27)</x:f>
      </x:c>
      <x:c r="R27" s="84" t="str">
        <x:f>IF(COUNTA('📥 DADOS BRUTOS'!B27)=0,"",'🧠 FFMQ Scores'!J27)</x:f>
      </x:c>
      <x:c r="S27" s="84" t="str">
        <x:f>IF(COUNTA('📥 DADOS BRUTOS'!B27)=0,"",'🌀 IPS-20 Scores'!E27)</x:f>
      </x:c>
      <x:c r="T27" s="84" t="str">
        <x:f>IF(COUNTA('📥 DADOS BRUTOS'!B27)=0,"",'🌀 IPS-20 Scores'!F27)</x:f>
      </x:c>
      <x:c r="U27" s="84" t="str">
        <x:f>IF(COUNTA('📥 DADOS BRUTOS'!B27)=0,"",'🌀 IPS-20 Scores'!G27)</x:f>
      </x:c>
      <x:c r="V27" s="84" t="str">
        <x:f>IF(COUNTA('📥 DADOS BRUTOS'!B27)=0,"",'🌀 IPS-20 Scores'!H27)</x:f>
      </x:c>
      <x:c r="W27" s="84" t="str">
        <x:f>IF(COUNTA('📥 DADOS BRUTOS'!B27)=0,"",'🌀 IPS-20 Scores'!I27)</x:f>
      </x:c>
      <x:c r="X27" s="84" t="str">
        <x:f>IF(COUNTA('📥 DADOS BRUTOS'!B27)=0,"",'🌀 IPS-20 Scores'!J27)</x:f>
      </x:c>
      <x:c r="Y27" s="30" t="str">
        <x:f>IF(COUNTA('📥 DADOS BRUTOS'!B27)=0,"",'🌀 IPS-20 Scores'!K27)</x:f>
      </x:c>
      <x:c r="Z27" s="84" t="str">
        <x:f>IF(COUNTA('📥 DADOS BRUTOS'!B27)=0,"",'💪 GSES Scores'!E27)</x:f>
      </x:c>
      <x:c r="AA27" s="30" t="str">
        <x:f>IF(COUNTA('📥 DADOS BRUTOS'!B27)=0,"",'💪 GSES Scores'!F27)</x:f>
      </x:c>
      <x:c r="AB27" t="str">
        <x:f>IF(A27="","",COUNTIF($A$2:A27,A27))</x:f>
      </x:c>
      <x:c r="AC27" t="str">
        <x:f t="shared" si="0">IF(A27="","",A27&amp;"|"&amp;AB27)</x:f>
      </x:c>
    </x:row>
    <x:row r="28" ht="18" customHeight="1">
      <x:c r="A28" s="26" t="str">
        <x:f>IF(COUNTA('📥 DADOS BRUTOS'!B28)=0,"",'📥 DADOS BRUTOS'!B28)</x:f>
      </x:c>
      <x:c r="B28" s="26" t="str">
        <x:f>IF(COUNTA('📥 DADOS BRUTOS'!B28)=0,"",'📥 DADOS BRUTOS'!C28)</x:f>
      </x:c>
      <x:c r="C28" s="26" t="str">
        <x:f>IF(COUNTA('📥 DADOS BRUTOS'!B28)=0,"",'📥 DADOS BRUTOS'!D28)</x:f>
      </x:c>
      <x:c r="D28" s="36" t="str">
        <x:f>IF(COUNTA('📥 DADOS BRUTOS'!B28)=0,"",'🧮 MAIA-2 Scores'!E28)</x:f>
      </x:c>
      <x:c r="E28" s="36" t="str">
        <x:f>IF(COUNTA('📥 DADOS BRUTOS'!B28)=0,"",'🧮 MAIA-2 Scores'!F28)</x:f>
      </x:c>
      <x:c r="F28" s="36" t="str">
        <x:f>IF(COUNTA('📥 DADOS BRUTOS'!B28)=0,"",'🧮 MAIA-2 Scores'!G28)</x:f>
      </x:c>
      <x:c r="G28" s="36" t="str">
        <x:f>IF(COUNTA('📥 DADOS BRUTOS'!B28)=0,"",'🧮 MAIA-2 Scores'!H28)</x:f>
      </x:c>
      <x:c r="H28" s="36" t="str">
        <x:f>IF(COUNTA('📥 DADOS BRUTOS'!B28)=0,"",'🧮 MAIA-2 Scores'!I28)</x:f>
      </x:c>
      <x:c r="I28" s="36" t="str">
        <x:f>IF(COUNTA('📥 DADOS BRUTOS'!B28)=0,"",'🧮 MAIA-2 Scores'!J28)</x:f>
      </x:c>
      <x:c r="J28" s="36" t="str">
        <x:f>IF(COUNTA('📥 DADOS BRUTOS'!B28)=0,"",'🧮 MAIA-2 Scores'!K28)</x:f>
      </x:c>
      <x:c r="K28" s="36" t="str">
        <x:f>IF(COUNTA('📥 DADOS BRUTOS'!B28)=0,"",'🧮 MAIA-2 Scores'!L28)</x:f>
      </x:c>
      <x:c r="L28" s="36" t="str">
        <x:f>IF(COUNTA('📥 DADOS BRUTOS'!B28)=0,"",'🧮 MAIA-2 Scores'!M28)</x:f>
      </x:c>
      <x:c r="M28" s="36" t="str">
        <x:f>IF(COUNTA('📥 DADOS BRUTOS'!B28)=0,"",'🧠 FFMQ Scores'!E28)</x:f>
      </x:c>
      <x:c r="N28" s="36" t="str">
        <x:f>IF(COUNTA('📥 DADOS BRUTOS'!B28)=0,"",'🧠 FFMQ Scores'!F28)</x:f>
      </x:c>
      <x:c r="O28" s="36" t="str">
        <x:f>IF(COUNTA('📥 DADOS BRUTOS'!B28)=0,"",'🧠 FFMQ Scores'!G28)</x:f>
      </x:c>
      <x:c r="P28" s="36" t="str">
        <x:f>IF(COUNTA('📥 DADOS BRUTOS'!B28)=0,"",'🧠 FFMQ Scores'!H28)</x:f>
      </x:c>
      <x:c r="Q28" s="36" t="str">
        <x:f>IF(COUNTA('📥 DADOS BRUTOS'!B28)=0,"",'🧠 FFMQ Scores'!I28)</x:f>
      </x:c>
      <x:c r="R28" s="36" t="str">
        <x:f>IF(COUNTA('📥 DADOS BRUTOS'!B28)=0,"",'🧠 FFMQ Scores'!J28)</x:f>
      </x:c>
      <x:c r="S28" s="36" t="str">
        <x:f>IF(COUNTA('📥 DADOS BRUTOS'!B28)=0,"",'🌀 IPS-20 Scores'!E28)</x:f>
      </x:c>
      <x:c r="T28" s="36" t="str">
        <x:f>IF(COUNTA('📥 DADOS BRUTOS'!B28)=0,"",'🌀 IPS-20 Scores'!F28)</x:f>
      </x:c>
      <x:c r="U28" s="36" t="str">
        <x:f>IF(COUNTA('📥 DADOS BRUTOS'!B28)=0,"",'🌀 IPS-20 Scores'!G28)</x:f>
      </x:c>
      <x:c r="V28" s="36" t="str">
        <x:f>IF(COUNTA('📥 DADOS BRUTOS'!B28)=0,"",'🌀 IPS-20 Scores'!H28)</x:f>
      </x:c>
      <x:c r="W28" s="36" t="str">
        <x:f>IF(COUNTA('📥 DADOS BRUTOS'!B28)=0,"",'🌀 IPS-20 Scores'!I28)</x:f>
      </x:c>
      <x:c r="X28" s="36" t="str">
        <x:f>IF(COUNTA('📥 DADOS BRUTOS'!B28)=0,"",'🌀 IPS-20 Scores'!J28)</x:f>
      </x:c>
      <x:c r="Y28" s="26" t="str">
        <x:f>IF(COUNTA('📥 DADOS BRUTOS'!B28)=0,"",'🌀 IPS-20 Scores'!K28)</x:f>
      </x:c>
      <x:c r="Z28" s="36" t="str">
        <x:f>IF(COUNTA('📥 DADOS BRUTOS'!B28)=0,"",'💪 GSES Scores'!E28)</x:f>
      </x:c>
      <x:c r="AA28" s="26" t="str">
        <x:f>IF(COUNTA('📥 DADOS BRUTOS'!B28)=0,"",'💪 GSES Scores'!F28)</x:f>
      </x:c>
      <x:c r="AB28" t="str">
        <x:f>IF(A28="","",COUNTIF($A$2:A28,A28))</x:f>
      </x:c>
      <x:c r="AC28" t="str">
        <x:f t="shared" si="0">IF(A28="","",A28&amp;"|"&amp;AB28)</x:f>
      </x:c>
    </x:row>
    <x:row r="29" ht="18" customHeight="1">
      <x:c r="A29" s="30" t="str">
        <x:f>IF(COUNTA('📥 DADOS BRUTOS'!B29)=0,"",'📥 DADOS BRUTOS'!B29)</x:f>
      </x:c>
      <x:c r="B29" s="30" t="str">
        <x:f>IF(COUNTA('📥 DADOS BRUTOS'!B29)=0,"",'📥 DADOS BRUTOS'!C29)</x:f>
      </x:c>
      <x:c r="C29" s="30" t="str">
        <x:f>IF(COUNTA('📥 DADOS BRUTOS'!B29)=0,"",'📥 DADOS BRUTOS'!D29)</x:f>
      </x:c>
      <x:c r="D29" s="84" t="str">
        <x:f>IF(COUNTA('📥 DADOS BRUTOS'!B29)=0,"",'🧮 MAIA-2 Scores'!E29)</x:f>
      </x:c>
      <x:c r="E29" s="84" t="str">
        <x:f>IF(COUNTA('📥 DADOS BRUTOS'!B29)=0,"",'🧮 MAIA-2 Scores'!F29)</x:f>
      </x:c>
      <x:c r="F29" s="84" t="str">
        <x:f>IF(COUNTA('📥 DADOS BRUTOS'!B29)=0,"",'🧮 MAIA-2 Scores'!G29)</x:f>
      </x:c>
      <x:c r="G29" s="84" t="str">
        <x:f>IF(COUNTA('📥 DADOS BRUTOS'!B29)=0,"",'🧮 MAIA-2 Scores'!H29)</x:f>
      </x:c>
      <x:c r="H29" s="84" t="str">
        <x:f>IF(COUNTA('📥 DADOS BRUTOS'!B29)=0,"",'🧮 MAIA-2 Scores'!I29)</x:f>
      </x:c>
      <x:c r="I29" s="84" t="str">
        <x:f>IF(COUNTA('📥 DADOS BRUTOS'!B29)=0,"",'🧮 MAIA-2 Scores'!J29)</x:f>
      </x:c>
      <x:c r="J29" s="84" t="str">
        <x:f>IF(COUNTA('📥 DADOS BRUTOS'!B29)=0,"",'🧮 MAIA-2 Scores'!K29)</x:f>
      </x:c>
      <x:c r="K29" s="84" t="str">
        <x:f>IF(COUNTA('📥 DADOS BRUTOS'!B29)=0,"",'🧮 MAIA-2 Scores'!L29)</x:f>
      </x:c>
      <x:c r="L29" s="84" t="str">
        <x:f>IF(COUNTA('📥 DADOS BRUTOS'!B29)=0,"",'🧮 MAIA-2 Scores'!M29)</x:f>
      </x:c>
      <x:c r="M29" s="84" t="str">
        <x:f>IF(COUNTA('📥 DADOS BRUTOS'!B29)=0,"",'🧠 FFMQ Scores'!E29)</x:f>
      </x:c>
      <x:c r="N29" s="84" t="str">
        <x:f>IF(COUNTA('📥 DADOS BRUTOS'!B29)=0,"",'🧠 FFMQ Scores'!F29)</x:f>
      </x:c>
      <x:c r="O29" s="84" t="str">
        <x:f>IF(COUNTA('📥 DADOS BRUTOS'!B29)=0,"",'🧠 FFMQ Scores'!G29)</x:f>
      </x:c>
      <x:c r="P29" s="84" t="str">
        <x:f>IF(COUNTA('📥 DADOS BRUTOS'!B29)=0,"",'🧠 FFMQ Scores'!H29)</x:f>
      </x:c>
      <x:c r="Q29" s="84" t="str">
        <x:f>IF(COUNTA('📥 DADOS BRUTOS'!B29)=0,"",'🧠 FFMQ Scores'!I29)</x:f>
      </x:c>
      <x:c r="R29" s="84" t="str">
        <x:f>IF(COUNTA('📥 DADOS BRUTOS'!B29)=0,"",'🧠 FFMQ Scores'!J29)</x:f>
      </x:c>
      <x:c r="S29" s="84" t="str">
        <x:f>IF(COUNTA('📥 DADOS BRUTOS'!B29)=0,"",'🌀 IPS-20 Scores'!E29)</x:f>
      </x:c>
      <x:c r="T29" s="84" t="str">
        <x:f>IF(COUNTA('📥 DADOS BRUTOS'!B29)=0,"",'🌀 IPS-20 Scores'!F29)</x:f>
      </x:c>
      <x:c r="U29" s="84" t="str">
        <x:f>IF(COUNTA('📥 DADOS BRUTOS'!B29)=0,"",'🌀 IPS-20 Scores'!G29)</x:f>
      </x:c>
      <x:c r="V29" s="84" t="str">
        <x:f>IF(COUNTA('📥 DADOS BRUTOS'!B29)=0,"",'🌀 IPS-20 Scores'!H29)</x:f>
      </x:c>
      <x:c r="W29" s="84" t="str">
        <x:f>IF(COUNTA('📥 DADOS BRUTOS'!B29)=0,"",'🌀 IPS-20 Scores'!I29)</x:f>
      </x:c>
      <x:c r="X29" s="84" t="str">
        <x:f>IF(COUNTA('📥 DADOS BRUTOS'!B29)=0,"",'🌀 IPS-20 Scores'!J29)</x:f>
      </x:c>
      <x:c r="Y29" s="30" t="str">
        <x:f>IF(COUNTA('📥 DADOS BRUTOS'!B29)=0,"",'🌀 IPS-20 Scores'!K29)</x:f>
      </x:c>
      <x:c r="Z29" s="84" t="str">
        <x:f>IF(COUNTA('📥 DADOS BRUTOS'!B29)=0,"",'💪 GSES Scores'!E29)</x:f>
      </x:c>
      <x:c r="AA29" s="30" t="str">
        <x:f>IF(COUNTA('📥 DADOS BRUTOS'!B29)=0,"",'💪 GSES Scores'!F29)</x:f>
      </x:c>
      <x:c r="AB29" t="str">
        <x:f>IF(A29="","",COUNTIF($A$2:A29,A29))</x:f>
      </x:c>
      <x:c r="AC29" t="str">
        <x:f t="shared" si="0">IF(A29="","",A29&amp;"|"&amp;AB29)</x:f>
      </x:c>
    </x:row>
    <x:row r="30" ht="18" customHeight="1">
      <x:c r="A30" s="26" t="str">
        <x:f>IF(COUNTA('📥 DADOS BRUTOS'!B30)=0,"",'📥 DADOS BRUTOS'!B30)</x:f>
      </x:c>
      <x:c r="B30" s="26" t="str">
        <x:f>IF(COUNTA('📥 DADOS BRUTOS'!B30)=0,"",'📥 DADOS BRUTOS'!C30)</x:f>
      </x:c>
      <x:c r="C30" s="26" t="str">
        <x:f>IF(COUNTA('📥 DADOS BRUTOS'!B30)=0,"",'📥 DADOS BRUTOS'!D30)</x:f>
      </x:c>
      <x:c r="D30" s="36" t="str">
        <x:f>IF(COUNTA('📥 DADOS BRUTOS'!B30)=0,"",'🧮 MAIA-2 Scores'!E30)</x:f>
      </x:c>
      <x:c r="E30" s="36" t="str">
        <x:f>IF(COUNTA('📥 DADOS BRUTOS'!B30)=0,"",'🧮 MAIA-2 Scores'!F30)</x:f>
      </x:c>
      <x:c r="F30" s="36" t="str">
        <x:f>IF(COUNTA('📥 DADOS BRUTOS'!B30)=0,"",'🧮 MAIA-2 Scores'!G30)</x:f>
      </x:c>
      <x:c r="G30" s="36" t="str">
        <x:f>IF(COUNTA('📥 DADOS BRUTOS'!B30)=0,"",'🧮 MAIA-2 Scores'!H30)</x:f>
      </x:c>
      <x:c r="H30" s="36" t="str">
        <x:f>IF(COUNTA('📥 DADOS BRUTOS'!B30)=0,"",'🧮 MAIA-2 Scores'!I30)</x:f>
      </x:c>
      <x:c r="I30" s="36" t="str">
        <x:f>IF(COUNTA('📥 DADOS BRUTOS'!B30)=0,"",'🧮 MAIA-2 Scores'!J30)</x:f>
      </x:c>
      <x:c r="J30" s="36" t="str">
        <x:f>IF(COUNTA('📥 DADOS BRUTOS'!B30)=0,"",'🧮 MAIA-2 Scores'!K30)</x:f>
      </x:c>
      <x:c r="K30" s="36" t="str">
        <x:f>IF(COUNTA('📥 DADOS BRUTOS'!B30)=0,"",'🧮 MAIA-2 Scores'!L30)</x:f>
      </x:c>
      <x:c r="L30" s="36" t="str">
        <x:f>IF(COUNTA('📥 DADOS BRUTOS'!B30)=0,"",'🧮 MAIA-2 Scores'!M30)</x:f>
      </x:c>
      <x:c r="M30" s="36" t="str">
        <x:f>IF(COUNTA('📥 DADOS BRUTOS'!B30)=0,"",'🧠 FFMQ Scores'!E30)</x:f>
      </x:c>
      <x:c r="N30" s="36" t="str">
        <x:f>IF(COUNTA('📥 DADOS BRUTOS'!B30)=0,"",'🧠 FFMQ Scores'!F30)</x:f>
      </x:c>
      <x:c r="O30" s="36" t="str">
        <x:f>IF(COUNTA('📥 DADOS BRUTOS'!B30)=0,"",'🧠 FFMQ Scores'!G30)</x:f>
      </x:c>
      <x:c r="P30" s="36" t="str">
        <x:f>IF(COUNTA('📥 DADOS BRUTOS'!B30)=0,"",'🧠 FFMQ Scores'!H30)</x:f>
      </x:c>
      <x:c r="Q30" s="36" t="str">
        <x:f>IF(COUNTA('📥 DADOS BRUTOS'!B30)=0,"",'🧠 FFMQ Scores'!I30)</x:f>
      </x:c>
      <x:c r="R30" s="36" t="str">
        <x:f>IF(COUNTA('📥 DADOS BRUTOS'!B30)=0,"",'🧠 FFMQ Scores'!J30)</x:f>
      </x:c>
      <x:c r="S30" s="36" t="str">
        <x:f>IF(COUNTA('📥 DADOS BRUTOS'!B30)=0,"",'🌀 IPS-20 Scores'!E30)</x:f>
      </x:c>
      <x:c r="T30" s="36" t="str">
        <x:f>IF(COUNTA('📥 DADOS BRUTOS'!B30)=0,"",'🌀 IPS-20 Scores'!F30)</x:f>
      </x:c>
      <x:c r="U30" s="36" t="str">
        <x:f>IF(COUNTA('📥 DADOS BRUTOS'!B30)=0,"",'🌀 IPS-20 Scores'!G30)</x:f>
      </x:c>
      <x:c r="V30" s="36" t="str">
        <x:f>IF(COUNTA('📥 DADOS BRUTOS'!B30)=0,"",'🌀 IPS-20 Scores'!H30)</x:f>
      </x:c>
      <x:c r="W30" s="36" t="str">
        <x:f>IF(COUNTA('📥 DADOS BRUTOS'!B30)=0,"",'🌀 IPS-20 Scores'!I30)</x:f>
      </x:c>
      <x:c r="X30" s="36" t="str">
        <x:f>IF(COUNTA('📥 DADOS BRUTOS'!B30)=0,"",'🌀 IPS-20 Scores'!J30)</x:f>
      </x:c>
      <x:c r="Y30" s="26" t="str">
        <x:f>IF(COUNTA('📥 DADOS BRUTOS'!B30)=0,"",'🌀 IPS-20 Scores'!K30)</x:f>
      </x:c>
      <x:c r="Z30" s="36" t="str">
        <x:f>IF(COUNTA('📥 DADOS BRUTOS'!B30)=0,"",'💪 GSES Scores'!E30)</x:f>
      </x:c>
      <x:c r="AA30" s="26" t="str">
        <x:f>IF(COUNTA('📥 DADOS BRUTOS'!B30)=0,"",'💪 GSES Scores'!F30)</x:f>
      </x:c>
      <x:c r="AB30" t="str">
        <x:f>IF(A30="","",COUNTIF($A$2:A30,A30))</x:f>
      </x:c>
      <x:c r="AC30" t="str">
        <x:f t="shared" si="0">IF(A30="","",A30&amp;"|"&amp;AB30)</x:f>
      </x:c>
    </x:row>
    <x:row r="31" ht="18" customHeight="1">
      <x:c r="A31" s="30" t="str">
        <x:f>IF(COUNTA('📥 DADOS BRUTOS'!B31)=0,"",'📥 DADOS BRUTOS'!B31)</x:f>
      </x:c>
      <x:c r="B31" s="30" t="str">
        <x:f>IF(COUNTA('📥 DADOS BRUTOS'!B31)=0,"",'📥 DADOS BRUTOS'!C31)</x:f>
      </x:c>
      <x:c r="C31" s="30" t="str">
        <x:f>IF(COUNTA('📥 DADOS BRUTOS'!B31)=0,"",'📥 DADOS BRUTOS'!D31)</x:f>
      </x:c>
      <x:c r="D31" s="84" t="str">
        <x:f>IF(COUNTA('📥 DADOS BRUTOS'!B31)=0,"",'🧮 MAIA-2 Scores'!E31)</x:f>
      </x:c>
      <x:c r="E31" s="84" t="str">
        <x:f>IF(COUNTA('📥 DADOS BRUTOS'!B31)=0,"",'🧮 MAIA-2 Scores'!F31)</x:f>
      </x:c>
      <x:c r="F31" s="84" t="str">
        <x:f>IF(COUNTA('📥 DADOS BRUTOS'!B31)=0,"",'🧮 MAIA-2 Scores'!G31)</x:f>
      </x:c>
      <x:c r="G31" s="84" t="str">
        <x:f>IF(COUNTA('📥 DADOS BRUTOS'!B31)=0,"",'🧮 MAIA-2 Scores'!H31)</x:f>
      </x:c>
      <x:c r="H31" s="84" t="str">
        <x:f>IF(COUNTA('📥 DADOS BRUTOS'!B31)=0,"",'🧮 MAIA-2 Scores'!I31)</x:f>
      </x:c>
      <x:c r="I31" s="84" t="str">
        <x:f>IF(COUNTA('📥 DADOS BRUTOS'!B31)=0,"",'🧮 MAIA-2 Scores'!J31)</x:f>
      </x:c>
      <x:c r="J31" s="84" t="str">
        <x:f>IF(COUNTA('📥 DADOS BRUTOS'!B31)=0,"",'🧮 MAIA-2 Scores'!K31)</x:f>
      </x:c>
      <x:c r="K31" s="84" t="str">
        <x:f>IF(COUNTA('📥 DADOS BRUTOS'!B31)=0,"",'🧮 MAIA-2 Scores'!L31)</x:f>
      </x:c>
      <x:c r="L31" s="84" t="str">
        <x:f>IF(COUNTA('📥 DADOS BRUTOS'!B31)=0,"",'🧮 MAIA-2 Scores'!M31)</x:f>
      </x:c>
      <x:c r="M31" s="84" t="str">
        <x:f>IF(COUNTA('📥 DADOS BRUTOS'!B31)=0,"",'🧠 FFMQ Scores'!E31)</x:f>
      </x:c>
      <x:c r="N31" s="84" t="str">
        <x:f>IF(COUNTA('📥 DADOS BRUTOS'!B31)=0,"",'🧠 FFMQ Scores'!F31)</x:f>
      </x:c>
      <x:c r="O31" s="84" t="str">
        <x:f>IF(COUNTA('📥 DADOS BRUTOS'!B31)=0,"",'🧠 FFMQ Scores'!G31)</x:f>
      </x:c>
      <x:c r="P31" s="84" t="str">
        <x:f>IF(COUNTA('📥 DADOS BRUTOS'!B31)=0,"",'🧠 FFMQ Scores'!H31)</x:f>
      </x:c>
      <x:c r="Q31" s="84" t="str">
        <x:f>IF(COUNTA('📥 DADOS BRUTOS'!B31)=0,"",'🧠 FFMQ Scores'!I31)</x:f>
      </x:c>
      <x:c r="R31" s="84" t="str">
        <x:f>IF(COUNTA('📥 DADOS BRUTOS'!B31)=0,"",'🧠 FFMQ Scores'!J31)</x:f>
      </x:c>
      <x:c r="S31" s="84" t="str">
        <x:f>IF(COUNTA('📥 DADOS BRUTOS'!B31)=0,"",'🌀 IPS-20 Scores'!E31)</x:f>
      </x:c>
      <x:c r="T31" s="84" t="str">
        <x:f>IF(COUNTA('📥 DADOS BRUTOS'!B31)=0,"",'🌀 IPS-20 Scores'!F31)</x:f>
      </x:c>
      <x:c r="U31" s="84" t="str">
        <x:f>IF(COUNTA('📥 DADOS BRUTOS'!B31)=0,"",'🌀 IPS-20 Scores'!G31)</x:f>
      </x:c>
      <x:c r="V31" s="84" t="str">
        <x:f>IF(COUNTA('📥 DADOS BRUTOS'!B31)=0,"",'🌀 IPS-20 Scores'!H31)</x:f>
      </x:c>
      <x:c r="W31" s="84" t="str">
        <x:f>IF(COUNTA('📥 DADOS BRUTOS'!B31)=0,"",'🌀 IPS-20 Scores'!I31)</x:f>
      </x:c>
      <x:c r="X31" s="84" t="str">
        <x:f>IF(COUNTA('📥 DADOS BRUTOS'!B31)=0,"",'🌀 IPS-20 Scores'!J31)</x:f>
      </x:c>
      <x:c r="Y31" s="30" t="str">
        <x:f>IF(COUNTA('📥 DADOS BRUTOS'!B31)=0,"",'🌀 IPS-20 Scores'!K31)</x:f>
      </x:c>
      <x:c r="Z31" s="84" t="str">
        <x:f>IF(COUNTA('📥 DADOS BRUTOS'!B31)=0,"",'💪 GSES Scores'!E31)</x:f>
      </x:c>
      <x:c r="AA31" s="30" t="str">
        <x:f>IF(COUNTA('📥 DADOS BRUTOS'!B31)=0,"",'💪 GSES Scores'!F31)</x:f>
      </x:c>
      <x:c r="AB31" t="str">
        <x:f>IF(A31="","",COUNTIF($A$2:A31,A31))</x:f>
      </x:c>
      <x:c r="AC31" t="str">
        <x:f t="shared" si="0">IF(A31="","",A31&amp;"|"&amp;AB31)</x:f>
      </x:c>
    </x:row>
    <x:row r="32">
      <x:c r="A32" t="str">
        <x:f>IF(COUNTA('📥 DADOS BRUTOS'!B32)=0,"",'📥 DADOS BRUTOS'!B32)</x:f>
      </x:c>
      <x:c r="B32" t="str">
        <x:f>IF(COUNTA('📥 DADOS BRUTOS'!B32)=0,"",'📥 DADOS BRUTOS'!C32)</x:f>
      </x:c>
      <x:c r="C32" t="str">
        <x:f>IF(COUNTA('📥 DADOS BRUTOS'!B32)=0,"",'📥 DADOS BRUTOS'!D32)</x:f>
      </x:c>
      <x:c r="D32" t="str">
        <x:f>IF(COUNTA('📥 DADOS BRUTOS'!B32)=0,"",'🧮 MAIA-2 Scores'!E32)</x:f>
      </x:c>
      <x:c r="E32" t="str">
        <x:f>IF(COUNTA('📥 DADOS BRUTOS'!B32)=0,"",'🧮 MAIA-2 Scores'!F32)</x:f>
      </x:c>
      <x:c r="F32" t="str">
        <x:f>IF(COUNTA('📥 DADOS BRUTOS'!B32)=0,"",'🧮 MAIA-2 Scores'!G32)</x:f>
      </x:c>
      <x:c r="G32" t="str">
        <x:f>IF(COUNTA('📥 DADOS BRUTOS'!B32)=0,"",'🧮 MAIA-2 Scores'!H32)</x:f>
      </x:c>
      <x:c r="H32" t="str">
        <x:f>IF(COUNTA('📥 DADOS BRUTOS'!B32)=0,"",'🧮 MAIA-2 Scores'!I32)</x:f>
      </x:c>
      <x:c r="I32" t="str">
        <x:f>IF(COUNTA('📥 DADOS BRUTOS'!B32)=0,"",'🧮 MAIA-2 Scores'!J32)</x:f>
      </x:c>
      <x:c r="J32" t="str">
        <x:f>IF(COUNTA('📥 DADOS BRUTOS'!B32)=0,"",'🧮 MAIA-2 Scores'!K32)</x:f>
      </x:c>
      <x:c r="K32" t="str">
        <x:f>IF(COUNTA('📥 DADOS BRUTOS'!B32)=0,"",'🧮 MAIA-2 Scores'!L32)</x:f>
      </x:c>
      <x:c r="L32" t="str">
        <x:f>IF(COUNTA('📥 DADOS BRUTOS'!B32)=0,"",'🧮 MAIA-2 Scores'!M32)</x:f>
      </x:c>
      <x:c r="M32" t="str">
        <x:f>IF(COUNTA('📥 DADOS BRUTOS'!B32)=0,"",'🧠 FFMQ Scores'!E32)</x:f>
      </x:c>
      <x:c r="N32" t="str">
        <x:f>IF(COUNTA('📥 DADOS BRUTOS'!B32)=0,"",'🧠 FFMQ Scores'!F32)</x:f>
      </x:c>
      <x:c r="O32" t="str">
        <x:f>IF(COUNTA('📥 DADOS BRUTOS'!B32)=0,"",'🧠 FFMQ Scores'!G32)</x:f>
      </x:c>
      <x:c r="P32" t="str">
        <x:f>IF(COUNTA('📥 DADOS BRUTOS'!B32)=0,"",'🧠 FFMQ Scores'!H32)</x:f>
      </x:c>
      <x:c r="Q32" t="str">
        <x:f>IF(COUNTA('📥 DADOS BRUTOS'!B32)=0,"",'🧠 FFMQ Scores'!I32)</x:f>
      </x:c>
      <x:c r="R32" t="str">
        <x:f>IF(COUNTA('📥 DADOS BRUTOS'!B32)=0,"",'🧠 FFMQ Scores'!J32)</x:f>
      </x:c>
      <x:c r="S32" t="str">
        <x:f>IF(COUNTA('📥 DADOS BRUTOS'!B32)=0,"",'🌀 IPS-20 Scores'!E32)</x:f>
      </x:c>
      <x:c r="T32" t="str">
        <x:f>IF(COUNTA('📥 DADOS BRUTOS'!B32)=0,"",'🌀 IPS-20 Scores'!F32)</x:f>
      </x:c>
      <x:c r="U32" t="str">
        <x:f>IF(COUNTA('📥 DADOS BRUTOS'!B32)=0,"",'🌀 IPS-20 Scores'!G32)</x:f>
      </x:c>
      <x:c r="V32" t="str">
        <x:f>IF(COUNTA('📥 DADOS BRUTOS'!B32)=0,"",'🌀 IPS-20 Scores'!H32)</x:f>
      </x:c>
      <x:c r="W32" t="str">
        <x:f>IF(COUNTA('📥 DADOS BRUTOS'!B32)=0,"",'🌀 IPS-20 Scores'!I32)</x:f>
      </x:c>
      <x:c r="X32" t="str">
        <x:f>IF(COUNTA('📥 DADOS BRUTOS'!B32)=0,"",'🌀 IPS-20 Scores'!J32)</x:f>
      </x:c>
      <x:c r="Y32" t="str">
        <x:f>IF(COUNTA('📥 DADOS BRUTOS'!B32)=0,"",'🌀 IPS-20 Scores'!K32)</x:f>
      </x:c>
      <x:c r="Z32" t="str">
        <x:f>IF(COUNTA('📥 DADOS BRUTOS'!B32)=0,"",'💪 GSES Scores'!E32)</x:f>
      </x:c>
      <x:c r="AA32" t="str">
        <x:f>IF(COUNTA('📥 DADOS BRUTOS'!B32)=0,"",'💪 GSES Scores'!F32)</x:f>
      </x:c>
      <x:c r="AB32" t="str">
        <x:f>IF(A32="","",COUNTIF($A$2:A32,A32))</x:f>
      </x:c>
      <x:c r="AC32" t="str">
        <x:f>IF(A32="","",A32&amp;"|"&amp;AB32)</x:f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5"/>
  <x:cols>
    <x:col min="1" max="1" width="3" customWidth="1"/>
    <x:col min="2" max="19" width="14" customWidth="1"/>
  </x:cols>
  <x:sheetData>
    <x:row r="1" ht="34.5" customHeight="1">
      <x:c r="B1" s="167" t="s">
        <x:v>469</x:v>
      </x:c>
      <x:c r="C1" s="145"/>
      <x:c r="D1" s="145"/>
      <x:c r="E1" s="145"/>
      <x:c r="F1" s="145"/>
      <x:c r="G1" s="145"/>
      <x:c r="H1" s="145"/>
      <x:c r="I1" s="145"/>
      <x:c r="J1" s="145"/>
      <x:c r="K1" s="145"/>
      <x:c r="L1" s="145"/>
      <x:c r="M1" s="145"/>
      <x:c r="N1" s="145"/>
      <x:c r="O1" s="150"/>
    </x:row>
    <x:row r="3" ht="15" customHeight="1">
      <x:c r="B3" s="174" t="s">
        <x:v>470</x:v>
      </x:c>
      <x:c r="C3" s="145"/>
      <x:c r="D3" s="145"/>
      <x:c r="E3" s="150"/>
      <x:c r="G3" s="170" t="s">
        <x:v>471</x:v>
      </x:c>
      <x:c r="H3" s="145"/>
      <x:c r="I3" s="145"/>
      <x:c r="J3" s="150"/>
      <x:c r="L3" s="166" t="s">
        <x:v>472</x:v>
      </x:c>
      <x:c r="M3" s="150"/>
    </x:row>
    <x:row r="4" ht="15" customHeight="1">
      <x:c r="B4" s="18" t="s">
        <x:v>215</x:v>
      </x:c>
      <x:c r="C4" s="18" t="s">
        <x:v>47</x:v>
      </x:c>
      <x:c r="D4" s="18" t="s">
        <x:v>48</x:v>
      </x:c>
      <x:c r="E4" s="18" t="s">
        <x:v>49</x:v>
      </x:c>
      <x:c r="G4" s="18" t="s">
        <x:v>203</x:v>
      </x:c>
      <x:c r="H4" s="18" t="s">
        <x:v>47</x:v>
      </x:c>
      <x:c r="I4" s="18" t="s">
        <x:v>48</x:v>
      </x:c>
      <x:c r="J4" s="18" t="s">
        <x:v>49</x:v>
      </x:c>
      <x:c r="L4" s="18" t="s">
        <x:v>473</x:v>
      </x:c>
      <x:c r="M4" s="18" t="s">
        <x:v>50</x:v>
      </x:c>
    </x:row>
    <x:row r="5" ht="18" customHeight="1">
      <x:c r="B5" s="6" t="s">
        <x:v>207</x:v>
      </x:c>
      <x:c r="C5" s="36" t="n">
        <x:f>'🧮 MAIA-2 Scores'!E36</x:f>
        <x:v>0</x:v>
      </x:c>
      <x:c r="D5" s="36" t="n">
        <x:f>'🧮 MAIA-2 Scores'!F36</x:f>
        <x:v>0</x:v>
      </x:c>
      <x:c r="E5" s="36" t="n">
        <x:f>'🧮 MAIA-2 Scores'!G36</x:f>
        <x:v>0</x:v>
      </x:c>
      <x:c r="G5" s="8" t="s">
        <x:v>196</x:v>
      </x:c>
      <x:c r="H5" s="36" t="n">
        <x:f>'🧠 FFMQ Scores'!E36</x:f>
        <x:v>0</x:v>
      </x:c>
      <x:c r="I5" s="36" t="n">
        <x:f>'🧠 FFMQ Scores'!F36</x:f>
        <x:v>0</x:v>
      </x:c>
      <x:c r="J5" s="36" t="n">
        <x:f>'🧠 FFMQ Scores'!G36</x:f>
        <x:v>0</x:v>
      </x:c>
      <x:c r="L5" s="12" t="str">
        <x:v>MAIA média global*</x:v>
      </x:c>
      <x:c r="M5" s="135" t="n">
        <x:f>'🧮 MAIA-2 Scores'!G44</x:f>
        <x:v>0</x:v>
      </x:c>
    </x:row>
    <x:row r="6" ht="18" customHeight="1">
      <x:c r="B6" s="6" t="s">
        <x:v>474</x:v>
      </x:c>
      <x:c r="C6" s="36" t="n">
        <x:f>'🧮 MAIA-2 Scores'!E37</x:f>
        <x:v>0</x:v>
      </x:c>
      <x:c r="D6" s="36" t="n">
        <x:f>'🧮 MAIA-2 Scores'!F37</x:f>
        <x:v>0</x:v>
      </x:c>
      <x:c r="E6" s="36" t="n">
        <x:f>'🧮 MAIA-2 Scores'!G37</x:f>
        <x:v>0</x:v>
      </x:c>
      <x:c r="G6" s="8" t="s">
        <x:v>197</x:v>
      </x:c>
      <x:c r="H6" s="36" t="n">
        <x:f>'🧠 FFMQ Scores'!E37</x:f>
        <x:v>0</x:v>
      </x:c>
      <x:c r="I6" s="36" t="n">
        <x:f>'🧠 FFMQ Scores'!F37</x:f>
        <x:v>0</x:v>
      </x:c>
      <x:c r="J6" s="36" t="n">
        <x:f>'🧠 FFMQ Scores'!G37</x:f>
        <x:v>0</x:v>
      </x:c>
      <x:c r="L6" s="12" t="s">
        <x:v>207</x:v>
      </x:c>
      <x:c r="M6" s="135" t="n">
        <x:f>'🧮 MAIA-2 Scores'!G36</x:f>
        <x:v>0</x:v>
      </x:c>
    </x:row>
    <x:row r="7" ht="18" customHeight="1">
      <x:c r="B7" s="6" t="s">
        <x:v>475</x:v>
      </x:c>
      <x:c r="C7" s="36" t="n">
        <x:f>'🧮 MAIA-2 Scores'!E38</x:f>
        <x:v>0</x:v>
      </x:c>
      <x:c r="D7" s="36" t="n">
        <x:f>'🧮 MAIA-2 Scores'!F38</x:f>
        <x:v>0</x:v>
      </x:c>
      <x:c r="E7" s="36" t="n">
        <x:f>'🧮 MAIA-2 Scores'!G38</x:f>
        <x:v>0</x:v>
      </x:c>
      <x:c r="G7" s="8" t="s">
        <x:v>476</x:v>
      </x:c>
      <x:c r="H7" s="36" t="n">
        <x:f>'🧠 FFMQ Scores'!E38</x:f>
        <x:v>0</x:v>
      </x:c>
      <x:c r="I7" s="36" t="n">
        <x:f>'🧠 FFMQ Scores'!F38</x:f>
        <x:v>0</x:v>
      </x:c>
      <x:c r="J7" s="36" t="n">
        <x:f>'🧠 FFMQ Scores'!G38</x:f>
        <x:v>0</x:v>
      </x:c>
      <x:c r="L7" s="12" t="s">
        <x:v>474</x:v>
      </x:c>
      <x:c r="M7" s="135" t="n">
        <x:f>'🧮 MAIA-2 Scores'!G37</x:f>
        <x:v>0</x:v>
      </x:c>
    </x:row>
    <x:row r="8" ht="18" customHeight="1">
      <x:c r="B8" s="6" t="s">
        <x:v>477</x:v>
      </x:c>
      <x:c r="C8" s="36" t="n">
        <x:f>'🧮 MAIA-2 Scores'!E39</x:f>
        <x:v>0</x:v>
      </x:c>
      <x:c r="D8" s="36" t="n">
        <x:f>'🧮 MAIA-2 Scores'!F39</x:f>
        <x:v>0</x:v>
      </x:c>
      <x:c r="E8" s="36" t="n">
        <x:f>'🧮 MAIA-2 Scores'!G39</x:f>
        <x:v>0</x:v>
      </x:c>
      <x:c r="G8" s="8" t="s">
        <x:v>199</x:v>
      </x:c>
      <x:c r="H8" s="36" t="n">
        <x:f>'🧠 FFMQ Scores'!E39</x:f>
        <x:v>0</x:v>
      </x:c>
      <x:c r="I8" s="36" t="n">
        <x:f>'🧠 FFMQ Scores'!F39</x:f>
        <x:v>0</x:v>
      </x:c>
      <x:c r="J8" s="36" t="n">
        <x:f>'🧠 FFMQ Scores'!G39</x:f>
        <x:v>0</x:v>
      </x:c>
      <x:c r="L8" s="12" t="s">
        <x:v>477</x:v>
      </x:c>
      <x:c r="M8" s="135" t="n">
        <x:f>'🧮 MAIA-2 Scores'!G39</x:f>
        <x:v>0</x:v>
      </x:c>
    </x:row>
    <x:row r="9" ht="18" customHeight="1">
      <x:c r="B9" s="6" t="s">
        <x:v>478</x:v>
      </x:c>
      <x:c r="C9" s="36" t="n">
        <x:f>'🧮 MAIA-2 Scores'!E40</x:f>
        <x:v>0</x:v>
      </x:c>
      <x:c r="D9" s="36" t="n">
        <x:f>'🧮 MAIA-2 Scores'!F40</x:f>
        <x:v>0</x:v>
      </x:c>
      <x:c r="E9" s="36" t="n">
        <x:f>'🧮 MAIA-2 Scores'!G40</x:f>
        <x:v>0</x:v>
      </x:c>
      <x:c r="G9" s="8" t="s">
        <x:v>200</x:v>
      </x:c>
      <x:c r="H9" s="36" t="n">
        <x:f>'🧠 FFMQ Scores'!E40</x:f>
        <x:v>0</x:v>
      </x:c>
      <x:c r="I9" s="36" t="n">
        <x:f>'🧠 FFMQ Scores'!F40</x:f>
        <x:v>0</x:v>
      </x:c>
      <x:c r="J9" s="36" t="n">
        <x:f>'🧠 FFMQ Scores'!G40</x:f>
        <x:v>0</x:v>
      </x:c>
      <x:c r="L9" s="12" t="s">
        <x:v>479</x:v>
      </x:c>
      <x:c r="M9" s="135" t="n">
        <x:f>'🧠 FFMQ Scores'!G41</x:f>
        <x:v>0</x:v>
      </x:c>
    </x:row>
    <x:row r="10" ht="18" customHeight="1">
      <x:c r="B10" s="6" t="s">
        <x:v>480</x:v>
      </x:c>
      <x:c r="C10" s="36" t="n">
        <x:f>'🧮 MAIA-2 Scores'!E41</x:f>
        <x:v>0</x:v>
      </x:c>
      <x:c r="D10" s="36" t="n">
        <x:f>'🧮 MAIA-2 Scores'!F41</x:f>
        <x:v>0</x:v>
      </x:c>
      <x:c r="E10" s="36" t="n">
        <x:f>'🧮 MAIA-2 Scores'!G41</x:f>
        <x:v>0</x:v>
      </x:c>
      <x:c r="G10" s="7" t="s">
        <x:v>195</x:v>
      </x:c>
      <x:c r="H10" s="136" t="n">
        <x:f>'🧠 FFMQ Scores'!E41</x:f>
        <x:v>0</x:v>
      </x:c>
      <x:c r="I10" s="136" t="n">
        <x:f>'🧠 FFMQ Scores'!F41</x:f>
        <x:v>0</x:v>
      </x:c>
      <x:c r="J10" s="136" t="n">
        <x:f>'🧠 FFMQ Scores'!G41</x:f>
        <x:v>0</x:v>
      </x:c>
      <x:c r="L10" s="12" t="s">
        <x:v>196</x:v>
      </x:c>
      <x:c r="M10" s="135" t="n">
        <x:f>'🧠 FFMQ Scores'!G36</x:f>
        <x:v>0</x:v>
      </x:c>
    </x:row>
    <x:row r="11" ht="18" customHeight="1">
      <x:c r="B11" s="6" t="s">
        <x:v>481</x:v>
      </x:c>
      <x:c r="C11" s="36" t="n">
        <x:f>'🧮 MAIA-2 Scores'!E42</x:f>
        <x:v>0</x:v>
      </x:c>
      <x:c r="D11" s="36" t="n">
        <x:f>'🧮 MAIA-2 Scores'!F42</x:f>
        <x:v>0</x:v>
      </x:c>
      <x:c r="E11" s="36" t="n">
        <x:f>'🧮 MAIA-2 Scores'!G42</x:f>
        <x:v>0</x:v>
      </x:c>
      <x:c r="L11" s="12" t="s">
        <x:v>199</x:v>
      </x:c>
      <x:c r="M11" s="135" t="n">
        <x:f>'🧠 FFMQ Scores'!G39</x:f>
        <x:v>0</x:v>
      </x:c>
    </x:row>
    <x:row r="12" ht="18" customHeight="1">
      <x:c r="B12" s="6" t="s">
        <x:v>214</x:v>
      </x:c>
      <x:c r="C12" s="36" t="n">
        <x:f>'🧮 MAIA-2 Scores'!E43</x:f>
        <x:v>0</x:v>
      </x:c>
      <x:c r="D12" s="36" t="n">
        <x:f>'🧮 MAIA-2 Scores'!F43</x:f>
        <x:v>0</x:v>
      </x:c>
      <x:c r="E12" s="36" t="n">
        <x:f>'🧮 MAIA-2 Scores'!G43</x:f>
        <x:v>0</x:v>
      </x:c>
    </x:row>
    <x:row r="13" ht="18" customHeight="1">
      <x:c r="B13" s="5" t="s">
        <x:v>195</x:v>
      </x:c>
      <x:c r="C13" s="137" t="n">
        <x:f>'🧮 MAIA-2 Scores'!E44</x:f>
        <x:v>0</x:v>
      </x:c>
      <x:c r="D13" s="137" t="n">
        <x:f>'🧮 MAIA-2 Scores'!F44</x:f>
        <x:v>0</x:v>
      </x:c>
      <x:c r="E13" s="137" t="n">
        <x:f>'🧮 MAIA-2 Scores'!G44</x:f>
        <x:v>0</x:v>
      </x:c>
    </x:row>
    <x:row r="16" ht="19.5" customHeight="1">
      <x:c r="B16" s="168" t="s">
        <x:v>482</x:v>
      </x:c>
      <x:c r="C16" s="145"/>
      <x:c r="D16" s="145"/>
      <x:c r="E16" s="145"/>
      <x:c r="F16" s="145"/>
      <x:c r="G16" s="145"/>
      <x:c r="H16" s="145"/>
      <x:c r="I16" s="145"/>
      <x:c r="J16" s="145"/>
      <x:c r="K16" s="145"/>
      <x:c r="L16" s="145"/>
      <x:c r="M16" s="150"/>
    </x:row>
    <x:row r="18" ht="27.75" customHeight="1">
      <x:c r="B18" s="167" t="s">
        <x:v>483</x:v>
      </x:c>
      <x:c r="C18" s="145"/>
      <x:c r="D18" s="145"/>
      <x:c r="E18" s="145"/>
      <x:c r="F18" s="145"/>
      <x:c r="G18" s="145"/>
      <x:c r="H18" s="145"/>
      <x:c r="I18" s="145"/>
      <x:c r="J18" s="145"/>
      <x:c r="K18" s="145"/>
      <x:c r="L18" s="145"/>
      <x:c r="M18" s="150"/>
    </x:row>
    <x:row r="19" ht="21.75" customHeight="1">
      <x:c r="B19" s="171" t="s">
        <x:v>484</x:v>
      </x:c>
      <x:c r="C19" s="145"/>
      <x:c r="D19" s="145"/>
      <x:c r="E19" s="145"/>
      <x:c r="F19" s="145"/>
      <x:c r="G19" s="145"/>
      <x:c r="H19" s="145"/>
      <x:c r="I19" s="145"/>
      <x:c r="J19" s="145"/>
      <x:c r="K19" s="145"/>
      <x:c r="L19" s="145"/>
      <x:c r="M19" s="145"/>
    </x:row>
    <x:row r="20" ht="19.5" customHeight="1">
      <x:c r="B20" s="172" t="s">
        <x:v>485</x:v>
      </x:c>
      <x:c r="C20" s="156"/>
      <x:c r="D20" s="156"/>
      <x:c r="E20" s="156"/>
      <x:c r="F20" s="156"/>
      <x:c r="G20" s="156"/>
      <x:c r="H20" s="156"/>
      <x:c r="I20" s="156"/>
      <x:c r="J20" s="156"/>
      <x:c r="K20" s="156"/>
      <x:c r="L20" s="156"/>
      <x:c r="M20" s="156"/>
    </x:row>
    <x:row r="21" ht="6" customHeight="1">
      <x:c r="B21" s="147"/>
      <x:c r="C21" s="147"/>
      <x:c r="D21" s="147"/>
      <x:c r="E21" s="147"/>
      <x:c r="F21" s="147"/>
      <x:c r="G21" s="147"/>
      <x:c r="H21" s="147"/>
      <x:c r="I21" s="147"/>
      <x:c r="J21" s="147"/>
      <x:c r="K21" s="147"/>
      <x:c r="L21" s="147"/>
      <x:c r="M21" s="147"/>
    </x:row>
    <x:row r="22" ht="21.75" customHeight="1">
      <x:c r="B22" s="173" t="s">
        <x:v>486</x:v>
      </x:c>
      <x:c r="C22" s="145"/>
      <x:c r="D22" s="145"/>
      <x:c r="E22" s="145"/>
      <x:c r="F22" s="145"/>
      <x:c r="G22" s="145"/>
      <x:c r="H22" s="145"/>
      <x:c r="I22" s="145"/>
      <x:c r="J22" s="145"/>
      <x:c r="K22" s="145"/>
      <x:c r="L22" s="145"/>
      <x:c r="M22" s="145"/>
    </x:row>
    <x:row r="23" ht="19.5" customHeight="1">
      <x:c r="B23" s="172" t="s">
        <x:v>487</x:v>
      </x:c>
      <x:c r="C23" s="156"/>
      <x:c r="D23" s="156"/>
      <x:c r="E23" s="156"/>
      <x:c r="F23" s="156"/>
      <x:c r="G23" s="156"/>
      <x:c r="H23" s="156"/>
      <x:c r="I23" s="156"/>
      <x:c r="J23" s="156"/>
      <x:c r="K23" s="156"/>
      <x:c r="L23" s="156"/>
      <x:c r="M23" s="156"/>
    </x:row>
    <x:row r="24" ht="6" customHeight="1">
      <x:c r="B24" s="147"/>
      <x:c r="C24" s="147"/>
      <x:c r="D24" s="147"/>
      <x:c r="E24" s="147"/>
      <x:c r="F24" s="147"/>
      <x:c r="G24" s="147"/>
      <x:c r="H24" s="147"/>
      <x:c r="I24" s="147"/>
      <x:c r="J24" s="147"/>
      <x:c r="K24" s="147"/>
      <x:c r="L24" s="147"/>
      <x:c r="M24" s="147"/>
    </x:row>
    <x:row r="25" ht="21.75" customHeight="1">
      <x:c r="B25" s="169" t="s">
        <x:v>488</x:v>
      </x:c>
      <x:c r="C25" s="145"/>
      <x:c r="D25" s="145"/>
      <x:c r="E25" s="145"/>
      <x:c r="F25" s="145"/>
      <x:c r="G25" s="145"/>
      <x:c r="H25" s="145"/>
      <x:c r="I25" s="145"/>
      <x:c r="J25" s="145"/>
      <x:c r="K25" s="145"/>
      <x:c r="L25" s="145"/>
      <x:c r="M25" s="145"/>
    </x:row>
    <x:row r="26" ht="19.5" customHeight="1">
      <x:c r="B26" s="172" t="s">
        <x:v>489</x:v>
      </x:c>
      <x:c r="C26" s="156"/>
      <x:c r="D26" s="156"/>
      <x:c r="E26" s="156"/>
      <x:c r="F26" s="156"/>
      <x:c r="G26" s="156"/>
      <x:c r="H26" s="156"/>
      <x:c r="I26" s="156"/>
      <x:c r="J26" s="156"/>
      <x:c r="K26" s="156"/>
      <x:c r="L26" s="156"/>
      <x:c r="M26" s="156"/>
    </x:row>
    <x:row r="27" ht="6" customHeight="1">
      <x:c r="B27" s="147"/>
      <x:c r="C27" s="147"/>
      <x:c r="D27" s="147"/>
      <x:c r="E27" s="147"/>
      <x:c r="F27" s="147"/>
      <x:c r="G27" s="147"/>
      <x:c r="H27" s="147"/>
      <x:c r="I27" s="147"/>
      <x:c r="J27" s="147"/>
      <x:c r="K27" s="147"/>
      <x:c r="L27" s="147"/>
      <x:c r="M27" s="147"/>
    </x:row>
  </x:sheetData>
  <x:mergeCells>
    <x:mergeCell ref="B26:M26"/>
    <x:mergeCell ref="B18:M18"/>
    <x:mergeCell ref="B27:M27"/>
    <x:mergeCell ref="B3:E3"/>
    <x:mergeCell ref="B21:M21"/>
    <x:mergeCell ref="L3:M3"/>
    <x:mergeCell ref="B1:O1"/>
    <x:mergeCell ref="B24:M24"/>
    <x:mergeCell ref="B16:M16"/>
    <x:mergeCell ref="B25:M25"/>
    <x:mergeCell ref="G3:J3"/>
    <x:mergeCell ref="B19:M19"/>
    <x:mergeCell ref="B20:M20"/>
    <x:mergeCell ref="B23:M23"/>
    <x:mergeCell ref="B22:M22"/>
  </x:mergeCells>
  <x:pageMargins left="0.7" right="0.7" top="0.75" bottom="0.75" header="0.3" footer="0.3"/>
  <x:drawing xmlns:r="http://schemas.openxmlformats.org/officeDocument/2006/relationships" r:id="R7f46b6bfc22b4cff"/>
</x:worksheet>
</file>

<file path=xl/worksheets/sheet10.xml><?xml version="1.0" encoding="utf-8"?>
<x:worksheet xmlns:x="http://schemas.openxmlformats.org/spreadsheetml/2006/main">
  <x:sheetFormatPr baseColWidth="10" defaultColWidth="8.83203125" defaultRowHeight="15"/>
  <x:cols>
    <x:col min="1" max="1" width="13" hidden="1" customWidth="1"/>
    <x:col min="2" max="2" width="12" customWidth="1"/>
    <x:col min="3" max="10" width="13" customWidth="1"/>
  </x:cols>
  <x:sheetData>
    <x:row r="1" ht="19" customHeight="1">
      <x:c r="B1" s="138" t="s">
        <x:v>490</x:v>
      </x:c>
    </x:row>
    <x:row r="3">
      <x:c r="B3" s="139" t="s">
        <x:v>491</x:v>
      </x:c>
      <x:c r="C3" s="140"/>
    </x:row>
    <x:row r="5">
      <x:c r="B5" s="139" t="s">
        <x:v>492</x:v>
      </x:c>
      <x:c r="C5" s="139" t="s">
        <x:v>36</x:v>
      </x:c>
      <x:c r="D5" s="139" t="s">
        <x:v>37</x:v>
      </x:c>
      <x:c r="E5" s="139" t="str">
        <x:v>MAIA média global*</x:v>
      </x:c>
      <x:c r="F5" s="139" t="s">
        <x:v>479</x:v>
      </x:c>
      <x:c r="G5" s="139" t="s">
        <x:v>493</x:v>
      </x:c>
      <x:c r="H5" s="139" t="s">
        <x:v>44</x:v>
      </x:c>
      <x:c r="I5" s="139" t="s">
        <x:v>494</x:v>
      </x:c>
      <x:c r="J5" s="139" t="str">
        <x:v>Leitura GSES</x:v>
      </x:c>
    </x:row>
    <x:row r="6">
      <x:c r="A6" t="str">
        <x:f>IF(COUNTA($C$3)=0,"",IFERROR(MATCH($C$3&amp;"|"&amp;B6,'📋 Banco de Dados'!$AC$2:$AC$31,0)+1,""))</x:f>
      </x:c>
      <x:c r="B6">
        <x:v>1</x:v>
      </x:c>
      <x:c r="C6" t="str">
        <x:f>IF($A6="","",IFERROR(INDEX('📋 Banco de Dados'!B$1:B$31,$A6),""))</x:f>
      </x:c>
      <x:c r="D6" t="str">
        <x:f>IF($A6="","",IFERROR(INDEX('📋 Banco de Dados'!C$1:C$31,$A6),""))</x:f>
      </x:c>
      <x:c r="E6" t="str">
        <x:f>IF($A6="","",IFERROR(INDEX('📋 Banco de Dados'!L$1:L$31,$A6),""))</x:f>
      </x:c>
      <x:c r="F6" t="str">
        <x:f>IF($A6="","",IFERROR(INDEX('📋 Banco de Dados'!R$1:R$31,$A6),""))</x:f>
      </x:c>
      <x:c r="G6" t="str">
        <x:f>IF($A6="","",IFERROR(INDEX('📋 Banco de Dados'!X$1:X$31,$A6),""))</x:f>
      </x:c>
      <x:c r="H6" t="str">
        <x:f>IF($A6="","",IFERROR(INDEX('📋 Banco de Dados'!Y$1:Y$31,$A6),""))</x:f>
      </x:c>
      <x:c r="I6" t="str">
        <x:f>IF($A6="","",IFERROR(INDEX('📋 Banco de Dados'!Z$1:Z$31,$A6),""))</x:f>
      </x:c>
      <x:c r="J6" t="str">
        <x:f>IF($A6="","",IFERROR(INDEX('📋 Banco de Dados'!AA$1:AA$31,$A6),""))</x:f>
      </x:c>
    </x:row>
    <x:row r="7">
      <x:c r="A7" t="str">
        <x:f>IF(COUNTA($C$3)=0,"",IFERROR(MATCH($C$3&amp;"|"&amp;B7,'📋 Banco de Dados'!$AC$2:$AC$31,0)+1,""))</x:f>
      </x:c>
      <x:c r="B7">
        <x:v>2</x:v>
      </x:c>
      <x:c r="C7" t="str">
        <x:f>IF($A7="","",IFERROR(INDEX('📋 Banco de Dados'!B$1:B$31,$A7),""))</x:f>
      </x:c>
      <x:c r="D7" t="str">
        <x:f>IF($A7="","",IFERROR(INDEX('📋 Banco de Dados'!C$1:C$31,$A7),""))</x:f>
      </x:c>
      <x:c r="E7" t="str">
        <x:f>IF($A7="","",IFERROR(INDEX('📋 Banco de Dados'!L$1:L$31,$A7),""))</x:f>
      </x:c>
      <x:c r="F7" t="str">
        <x:f>IF($A7="","",IFERROR(INDEX('📋 Banco de Dados'!R$1:R$31,$A7),""))</x:f>
      </x:c>
      <x:c r="G7" t="str">
        <x:f>IF($A7="","",IFERROR(INDEX('📋 Banco de Dados'!X$1:X$31,$A7),""))</x:f>
      </x:c>
      <x:c r="H7" t="str">
        <x:f>IF($A7="","",IFERROR(INDEX('📋 Banco de Dados'!Y$1:Y$31,$A7),""))</x:f>
      </x:c>
      <x:c r="I7" t="str">
        <x:f>IF($A7="","",IFERROR(INDEX('📋 Banco de Dados'!Z$1:Z$31,$A7),""))</x:f>
      </x:c>
      <x:c r="J7" t="str">
        <x:f>IF($A7="","",IFERROR(INDEX('📋 Banco de Dados'!AA$1:AA$31,$A7),""))</x:f>
      </x:c>
    </x:row>
    <x:row r="8">
      <x:c r="A8" t="str">
        <x:f>IF(COUNTA($C$3)=0,"",IFERROR(MATCH($C$3&amp;"|"&amp;B8,'📋 Banco de Dados'!$AC$2:$AC$31,0)+1,""))</x:f>
      </x:c>
      <x:c r="B8">
        <x:v>3</x:v>
      </x:c>
      <x:c r="C8" t="str">
        <x:f>IF($A8="","",IFERROR(INDEX('📋 Banco de Dados'!B$1:B$31,$A8),""))</x:f>
      </x:c>
      <x:c r="D8" t="str">
        <x:f>IF($A8="","",IFERROR(INDEX('📋 Banco de Dados'!C$1:C$31,$A8),""))</x:f>
      </x:c>
      <x:c r="E8" t="str">
        <x:f>IF($A8="","",IFERROR(INDEX('📋 Banco de Dados'!L$1:L$31,$A8),""))</x:f>
      </x:c>
      <x:c r="F8" t="str">
        <x:f>IF($A8="","",IFERROR(INDEX('📋 Banco de Dados'!R$1:R$31,$A8),""))</x:f>
      </x:c>
      <x:c r="G8" t="str">
        <x:f>IF($A8="","",IFERROR(INDEX('📋 Banco de Dados'!X$1:X$31,$A8),""))</x:f>
      </x:c>
      <x:c r="H8" t="str">
        <x:f>IF($A8="","",IFERROR(INDEX('📋 Banco de Dados'!Y$1:Y$31,$A8),""))</x:f>
      </x:c>
      <x:c r="I8" t="str">
        <x:f>IF($A8="","",IFERROR(INDEX('📋 Banco de Dados'!Z$1:Z$31,$A8),""))</x:f>
      </x:c>
      <x:c r="J8" t="str">
        <x:f>IF($A8="","",IFERROR(INDEX('📋 Banco de Dados'!AA$1:AA$31,$A8),""))</x:f>
      </x:c>
    </x:row>
    <x:row r="9">
      <x:c r="A9" t="str">
        <x:f>IF(COUNTA($C$3)=0,"",IFERROR(MATCH($C$3&amp;"|"&amp;B9,'📋 Banco de Dados'!$AC$2:$AC$31,0)+1,""))</x:f>
      </x:c>
      <x:c r="B9">
        <x:v>4</x:v>
      </x:c>
      <x:c r="C9" t="str">
        <x:f>IF($A9="","",IFERROR(INDEX('📋 Banco de Dados'!B$1:B$31,$A9),""))</x:f>
      </x:c>
      <x:c r="D9" t="str">
        <x:f>IF($A9="","",IFERROR(INDEX('📋 Banco de Dados'!C$1:C$31,$A9),""))</x:f>
      </x:c>
      <x:c r="E9" t="str">
        <x:f>IF($A9="","",IFERROR(INDEX('📋 Banco de Dados'!L$1:L$31,$A9),""))</x:f>
      </x:c>
      <x:c r="F9" t="str">
        <x:f>IF($A9="","",IFERROR(INDEX('📋 Banco de Dados'!R$1:R$31,$A9),""))</x:f>
      </x:c>
      <x:c r="G9" t="str">
        <x:f>IF($A9="","",IFERROR(INDEX('📋 Banco de Dados'!X$1:X$31,$A9),""))</x:f>
      </x:c>
      <x:c r="H9" t="str">
        <x:f>IF($A9="","",IFERROR(INDEX('📋 Banco de Dados'!Y$1:Y$31,$A9),""))</x:f>
      </x:c>
      <x:c r="I9" t="str">
        <x:f>IF($A9="","",IFERROR(INDEX('📋 Banco de Dados'!Z$1:Z$31,$A9),""))</x:f>
      </x:c>
      <x:c r="J9" t="str">
        <x:f>IF($A9="","",IFERROR(INDEX('📋 Banco de Dados'!AA$1:AA$31,$A9),""))</x:f>
      </x:c>
    </x:row>
    <x:row r="10">
      <x:c r="A10" t="str">
        <x:f>IF(COUNTA($C$3)=0,"",IFERROR(MATCH($C$3&amp;"|"&amp;B10,'📋 Banco de Dados'!$AC$2:$AC$31,0)+1,""))</x:f>
      </x:c>
      <x:c r="B10">
        <x:v>5</x:v>
      </x:c>
      <x:c r="C10" t="str">
        <x:f>IF($A10="","",IFERROR(INDEX('📋 Banco de Dados'!B$1:B$31,$A10),""))</x:f>
      </x:c>
      <x:c r="D10" t="str">
        <x:f>IF($A10="","",IFERROR(INDEX('📋 Banco de Dados'!C$1:C$31,$A10),""))</x:f>
      </x:c>
      <x:c r="E10" t="str">
        <x:f>IF($A10="","",IFERROR(INDEX('📋 Banco de Dados'!L$1:L$31,$A10),""))</x:f>
      </x:c>
      <x:c r="F10" t="str">
        <x:f>IF($A10="","",IFERROR(INDEX('📋 Banco de Dados'!R$1:R$31,$A10),""))</x:f>
      </x:c>
      <x:c r="G10" t="str">
        <x:f>IF($A10="","",IFERROR(INDEX('📋 Banco de Dados'!X$1:X$31,$A10),""))</x:f>
      </x:c>
      <x:c r="H10" t="str">
        <x:f>IF($A10="","",IFERROR(INDEX('📋 Banco de Dados'!Y$1:Y$31,$A10),""))</x:f>
      </x:c>
      <x:c r="I10" t="str">
        <x:f>IF($A10="","",IFERROR(INDEX('📋 Banco de Dados'!Z$1:Z$31,$A10),""))</x:f>
      </x:c>
      <x:c r="J10" t="str">
        <x:f>IF($A10="","",IFERROR(INDEX('📋 Banco de Dados'!AA$1:AA$31,$A10),""))</x:f>
      </x:c>
    </x:row>
    <x:row r="11">
      <x:c r="A11" t="str">
        <x:f>IF(COUNTA($C$3)=0,"",IFERROR(MATCH($C$3&amp;"|"&amp;B11,'📋 Banco de Dados'!$AC$2:$AC$31,0)+1,""))</x:f>
      </x:c>
      <x:c r="B11">
        <x:v>6</x:v>
      </x:c>
      <x:c r="C11" t="str">
        <x:f>IF($A11="","",IFERROR(INDEX('📋 Banco de Dados'!B$1:B$31,$A11),""))</x:f>
      </x:c>
      <x:c r="D11" t="str">
        <x:f>IF($A11="","",IFERROR(INDEX('📋 Banco de Dados'!C$1:C$31,$A11),""))</x:f>
      </x:c>
      <x:c r="E11" t="str">
        <x:f>IF($A11="","",IFERROR(INDEX('📋 Banco de Dados'!L$1:L$31,$A11),""))</x:f>
      </x:c>
      <x:c r="F11" t="str">
        <x:f>IF($A11="","",IFERROR(INDEX('📋 Banco de Dados'!R$1:R$31,$A11),""))</x:f>
      </x:c>
      <x:c r="G11" t="str">
        <x:f>IF($A11="","",IFERROR(INDEX('📋 Banco de Dados'!X$1:X$31,$A11),""))</x:f>
      </x:c>
      <x:c r="H11" t="str">
        <x:f>IF($A11="","",IFERROR(INDEX('📋 Banco de Dados'!Y$1:Y$31,$A11),""))</x:f>
      </x:c>
      <x:c r="I11" t="str">
        <x:f>IF($A11="","",IFERROR(INDEX('📋 Banco de Dados'!Z$1:Z$31,$A11),""))</x:f>
      </x:c>
      <x:c r="J11" t="str">
        <x:f>IF($A11="","",IFERROR(INDEX('📋 Banco de Dados'!AA$1:AA$31,$A11),""))</x:f>
      </x:c>
    </x:row>
    <x:row r="12">
      <x:c r="A12" t="str">
        <x:f>IF(COUNTA($C$3)=0,"",IFERROR(MATCH($C$3&amp;"|"&amp;B12,'📋 Banco de Dados'!$AC$2:$AC$31,0)+1,""))</x:f>
      </x:c>
      <x:c r="B12">
        <x:v>7</x:v>
      </x:c>
      <x:c r="C12" t="str">
        <x:f>IF($A12="","",IFERROR(INDEX('📋 Banco de Dados'!B$1:B$31,$A12),""))</x:f>
      </x:c>
      <x:c r="D12" t="str">
        <x:f>IF($A12="","",IFERROR(INDEX('📋 Banco de Dados'!C$1:C$31,$A12),""))</x:f>
      </x:c>
      <x:c r="E12" t="str">
        <x:f>IF($A12="","",IFERROR(INDEX('📋 Banco de Dados'!L$1:L$31,$A12),""))</x:f>
      </x:c>
      <x:c r="F12" t="str">
        <x:f>IF($A12="","",IFERROR(INDEX('📋 Banco de Dados'!R$1:R$31,$A12),""))</x:f>
      </x:c>
      <x:c r="G12" t="str">
        <x:f>IF($A12="","",IFERROR(INDEX('📋 Banco de Dados'!X$1:X$31,$A12),""))</x:f>
      </x:c>
      <x:c r="H12" t="str">
        <x:f>IF($A12="","",IFERROR(INDEX('📋 Banco de Dados'!Y$1:Y$31,$A12),""))</x:f>
      </x:c>
      <x:c r="I12" t="str">
        <x:f>IF($A12="","",IFERROR(INDEX('📋 Banco de Dados'!Z$1:Z$31,$A12),""))</x:f>
      </x:c>
      <x:c r="J12" t="str">
        <x:f>IF($A12="","",IFERROR(INDEX('📋 Banco de Dados'!AA$1:AA$31,$A12),""))</x:f>
      </x:c>
    </x:row>
    <x:row r="13">
      <x:c r="A13" t="str">
        <x:f>IF(COUNTA($C$3)=0,"",IFERROR(MATCH($C$3&amp;"|"&amp;B13,'📋 Banco de Dados'!$AC$2:$AC$31,0)+1,""))</x:f>
      </x:c>
      <x:c r="B13">
        <x:v>8</x:v>
      </x:c>
      <x:c r="C13" t="str">
        <x:f>IF($A13="","",IFERROR(INDEX('📋 Banco de Dados'!B$1:B$31,$A13),""))</x:f>
      </x:c>
      <x:c r="D13" t="str">
        <x:f>IF($A13="","",IFERROR(INDEX('📋 Banco de Dados'!C$1:C$31,$A13),""))</x:f>
      </x:c>
      <x:c r="E13" t="str">
        <x:f>IF($A13="","",IFERROR(INDEX('📋 Banco de Dados'!L$1:L$31,$A13),""))</x:f>
      </x:c>
      <x:c r="F13" t="str">
        <x:f>IF($A13="","",IFERROR(INDEX('📋 Banco de Dados'!R$1:R$31,$A13),""))</x:f>
      </x:c>
      <x:c r="G13" t="str">
        <x:f>IF($A13="","",IFERROR(INDEX('📋 Banco de Dados'!X$1:X$31,$A13),""))</x:f>
      </x:c>
      <x:c r="H13" t="str">
        <x:f>IF($A13="","",IFERROR(INDEX('📋 Banco de Dados'!Y$1:Y$31,$A13),""))</x:f>
      </x:c>
      <x:c r="I13" t="str">
        <x:f>IF($A13="","",IFERROR(INDEX('📋 Banco de Dados'!Z$1:Z$31,$A13),""))</x:f>
      </x:c>
      <x:c r="J13" t="str">
        <x:f>IF($A13="","",IFERROR(INDEX('📋 Banco de Dados'!AA$1:AA$31,$A13),""))</x:f>
      </x:c>
    </x:row>
    <x:row r="14">
      <x:c r="A14" t="str">
        <x:f>IF(COUNTA($C$3)=0,"",IFERROR(MATCH($C$3&amp;"|"&amp;B14,'📋 Banco de Dados'!$AC$2:$AC$31,0)+1,""))</x:f>
      </x:c>
      <x:c r="B14">
        <x:v>9</x:v>
      </x:c>
      <x:c r="C14" t="str">
        <x:f>IF($A14="","",IFERROR(INDEX('📋 Banco de Dados'!B$1:B$31,$A14),""))</x:f>
      </x:c>
      <x:c r="D14" t="str">
        <x:f>IF($A14="","",IFERROR(INDEX('📋 Banco de Dados'!C$1:C$31,$A14),""))</x:f>
      </x:c>
      <x:c r="E14" t="str">
        <x:f>IF($A14="","",IFERROR(INDEX('📋 Banco de Dados'!L$1:L$31,$A14),""))</x:f>
      </x:c>
      <x:c r="F14" t="str">
        <x:f>IF($A14="","",IFERROR(INDEX('📋 Banco de Dados'!R$1:R$31,$A14),""))</x:f>
      </x:c>
      <x:c r="G14" t="str">
        <x:f>IF($A14="","",IFERROR(INDEX('📋 Banco de Dados'!X$1:X$31,$A14),""))</x:f>
      </x:c>
      <x:c r="H14" t="str">
        <x:f>IF($A14="","",IFERROR(INDEX('📋 Banco de Dados'!Y$1:Y$31,$A14),""))</x:f>
      </x:c>
      <x:c r="I14" t="str">
        <x:f>IF($A14="","",IFERROR(INDEX('📋 Banco de Dados'!Z$1:Z$31,$A14),""))</x:f>
      </x:c>
      <x:c r="J14" t="str">
        <x:f>IF($A14="","",IFERROR(INDEX('📋 Banco de Dados'!AA$1:AA$31,$A14),""))</x:f>
      </x:c>
    </x:row>
    <x:row r="15">
      <x:c r="A15" t="str">
        <x:f>IF(COUNTA($C$3)=0,"",IFERROR(MATCH($C$3&amp;"|"&amp;B15,'📋 Banco de Dados'!$AC$2:$AC$31,0)+1,""))</x:f>
      </x:c>
      <x:c r="B15">
        <x:v>10</x:v>
      </x:c>
      <x:c r="C15" t="str">
        <x:f>IF($A15="","",IFERROR(INDEX('📋 Banco de Dados'!B$1:B$31,$A15),""))</x:f>
      </x:c>
      <x:c r="D15" t="str">
        <x:f>IF($A15="","",IFERROR(INDEX('📋 Banco de Dados'!C$1:C$31,$A15),""))</x:f>
      </x:c>
      <x:c r="E15" t="str">
        <x:f>IF($A15="","",IFERROR(INDEX('📋 Banco de Dados'!L$1:L$31,$A15),""))</x:f>
      </x:c>
      <x:c r="F15" t="str">
        <x:f>IF($A15="","",IFERROR(INDEX('📋 Banco de Dados'!R$1:R$31,$A15),""))</x:f>
      </x:c>
      <x:c r="G15" t="str">
        <x:f>IF($A15="","",IFERROR(INDEX('📋 Banco de Dados'!X$1:X$31,$A15),""))</x:f>
      </x:c>
      <x:c r="H15" t="str">
        <x:f>IF($A15="","",IFERROR(INDEX('📋 Banco de Dados'!Y$1:Y$31,$A15),""))</x:f>
      </x:c>
      <x:c r="I15" t="str">
        <x:f>IF($A15="","",IFERROR(INDEX('📋 Banco de Dados'!Z$1:Z$31,$A15),""))</x:f>
      </x:c>
      <x:c r="J15" t="str">
        <x:f>IF($A15="","",IFERROR(INDEX('📋 Banco de Dados'!AA$1:AA$31,$A15),""))</x:f>
      </x:c>
    </x:row>
    <x:row r="16">
      <x:c r="A16" t="str">
        <x:f>IF(COUNTA($C$3)=0,"",IFERROR(MATCH($C$3&amp;"|"&amp;B16,'📋 Banco de Dados'!$AC$2:$AC$31,0)+1,""))</x:f>
      </x:c>
      <x:c r="B16">
        <x:v>11</x:v>
      </x:c>
      <x:c r="C16" t="str">
        <x:f>IF($A16="","",IFERROR(INDEX('📋 Banco de Dados'!B$1:B$31,$A16),""))</x:f>
      </x:c>
      <x:c r="D16" t="str">
        <x:f>IF($A16="","",IFERROR(INDEX('📋 Banco de Dados'!C$1:C$31,$A16),""))</x:f>
      </x:c>
      <x:c r="E16" t="str">
        <x:f>IF($A16="","",IFERROR(INDEX('📋 Banco de Dados'!L$1:L$31,$A16),""))</x:f>
      </x:c>
      <x:c r="F16" t="str">
        <x:f>IF($A16="","",IFERROR(INDEX('📋 Banco de Dados'!R$1:R$31,$A16),""))</x:f>
      </x:c>
      <x:c r="G16" t="str">
        <x:f>IF($A16="","",IFERROR(INDEX('📋 Banco de Dados'!X$1:X$31,$A16),""))</x:f>
      </x:c>
      <x:c r="H16" t="str">
        <x:f>IF($A16="","",IFERROR(INDEX('📋 Banco de Dados'!Y$1:Y$31,$A16),""))</x:f>
      </x:c>
      <x:c r="I16" t="str">
        <x:f>IF($A16="","",IFERROR(INDEX('📋 Banco de Dados'!Z$1:Z$31,$A16),""))</x:f>
      </x:c>
      <x:c r="J16" t="str">
        <x:f>IF($A16="","",IFERROR(INDEX('📋 Banco de Dados'!AA$1:AA$31,$A16),""))</x:f>
      </x:c>
    </x:row>
    <x:row r="17">
      <x:c r="A17" t="str">
        <x:f>IF(COUNTA($C$3)=0,"",IFERROR(MATCH($C$3&amp;"|"&amp;B17,'📋 Banco de Dados'!$AC$2:$AC$31,0)+1,""))</x:f>
      </x:c>
      <x:c r="B17">
        <x:v>12</x:v>
      </x:c>
      <x:c r="C17" t="str">
        <x:f>IF($A17="","",IFERROR(INDEX('📋 Banco de Dados'!B$1:B$31,$A17),""))</x:f>
      </x:c>
      <x:c r="D17" t="str">
        <x:f>IF($A17="","",IFERROR(INDEX('📋 Banco de Dados'!C$1:C$31,$A17),""))</x:f>
      </x:c>
      <x:c r="E17" t="str">
        <x:f>IF($A17="","",IFERROR(INDEX('📋 Banco de Dados'!L$1:L$31,$A17),""))</x:f>
      </x:c>
      <x:c r="F17" t="str">
        <x:f>IF($A17="","",IFERROR(INDEX('📋 Banco de Dados'!R$1:R$31,$A17),""))</x:f>
      </x:c>
      <x:c r="G17" t="str">
        <x:f>IF($A17="","",IFERROR(INDEX('📋 Banco de Dados'!X$1:X$31,$A17),""))</x:f>
      </x:c>
      <x:c r="H17" t="str">
        <x:f>IF($A17="","",IFERROR(INDEX('📋 Banco de Dados'!Y$1:Y$31,$A17),""))</x:f>
      </x:c>
      <x:c r="I17" t="str">
        <x:f>IF($A17="","",IFERROR(INDEX('📋 Banco de Dados'!Z$1:Z$31,$A17),""))</x:f>
      </x:c>
      <x:c r="J17" t="str">
        <x:f>IF($A17="","",IFERROR(INDEX('📋 Banco de Dados'!AA$1:AA$31,$A17),""))</x:f>
      </x:c>
    </x:row>
    <x:row r="18">
      <x:c r="A18" t="str">
        <x:f>IF(COUNTA($C$3)=0,"",IFERROR(MATCH($C$3&amp;"|"&amp;B18,'📋 Banco de Dados'!$AC$2:$AC$31,0)+1,""))</x:f>
      </x:c>
      <x:c r="B18">
        <x:v>13</x:v>
      </x:c>
      <x:c r="C18" t="str">
        <x:f>IF($A18="","",IFERROR(INDEX('📋 Banco de Dados'!B$1:B$31,$A18),""))</x:f>
      </x:c>
      <x:c r="D18" t="str">
        <x:f>IF($A18="","",IFERROR(INDEX('📋 Banco de Dados'!C$1:C$31,$A18),""))</x:f>
      </x:c>
      <x:c r="E18" t="str">
        <x:f>IF($A18="","",IFERROR(INDEX('📋 Banco de Dados'!L$1:L$31,$A18),""))</x:f>
      </x:c>
      <x:c r="F18" t="str">
        <x:f>IF($A18="","",IFERROR(INDEX('📋 Banco de Dados'!R$1:R$31,$A18),""))</x:f>
      </x:c>
      <x:c r="G18" t="str">
        <x:f>IF($A18="","",IFERROR(INDEX('📋 Banco de Dados'!X$1:X$31,$A18),""))</x:f>
      </x:c>
      <x:c r="H18" t="str">
        <x:f>IF($A18="","",IFERROR(INDEX('📋 Banco de Dados'!Y$1:Y$31,$A18),""))</x:f>
      </x:c>
      <x:c r="I18" t="str">
        <x:f>IF($A18="","",IFERROR(INDEX('📋 Banco de Dados'!Z$1:Z$31,$A18),""))</x:f>
      </x:c>
      <x:c r="J18" t="str">
        <x:f>IF($A18="","",IFERROR(INDEX('📋 Banco de Dados'!AA$1:AA$31,$A18),""))</x:f>
      </x:c>
    </x:row>
    <x:row r="19">
      <x:c r="A19" t="str">
        <x:f>IF(COUNTA($C$3)=0,"",IFERROR(MATCH($C$3&amp;"|"&amp;B19,'📋 Banco de Dados'!$AC$2:$AC$31,0)+1,""))</x:f>
      </x:c>
      <x:c r="B19">
        <x:v>14</x:v>
      </x:c>
      <x:c r="C19" t="str">
        <x:f>IF($A19="","",IFERROR(INDEX('📋 Banco de Dados'!B$1:B$31,$A19),""))</x:f>
      </x:c>
      <x:c r="D19" t="str">
        <x:f>IF($A19="","",IFERROR(INDEX('📋 Banco de Dados'!C$1:C$31,$A19),""))</x:f>
      </x:c>
      <x:c r="E19" t="str">
        <x:f>IF($A19="","",IFERROR(INDEX('📋 Banco de Dados'!L$1:L$31,$A19),""))</x:f>
      </x:c>
      <x:c r="F19" t="str">
        <x:f>IF($A19="","",IFERROR(INDEX('📋 Banco de Dados'!R$1:R$31,$A19),""))</x:f>
      </x:c>
      <x:c r="G19" t="str">
        <x:f>IF($A19="","",IFERROR(INDEX('📋 Banco de Dados'!X$1:X$31,$A19),""))</x:f>
      </x:c>
      <x:c r="H19" t="str">
        <x:f>IF($A19="","",IFERROR(INDEX('📋 Banco de Dados'!Y$1:Y$31,$A19),""))</x:f>
      </x:c>
      <x:c r="I19" t="str">
        <x:f>IF($A19="","",IFERROR(INDEX('📋 Banco de Dados'!Z$1:Z$31,$A19),""))</x:f>
      </x:c>
      <x:c r="J19" t="str">
        <x:f>IF($A19="","",IFERROR(INDEX('📋 Banco de Dados'!AA$1:AA$31,$A19),""))</x:f>
      </x:c>
    </x:row>
    <x:row r="20">
      <x:c r="A20" t="str">
        <x:f>IF(COUNTA($C$3)=0,"",IFERROR(MATCH($C$3&amp;"|"&amp;B20,'📋 Banco de Dados'!$AC$2:$AC$31,0)+1,""))</x:f>
      </x:c>
      <x:c r="B20">
        <x:v>15</x:v>
      </x:c>
      <x:c r="C20" t="str">
        <x:f>IF($A20="","",IFERROR(INDEX('📋 Banco de Dados'!B$1:B$31,$A20),""))</x:f>
      </x:c>
      <x:c r="D20" t="str">
        <x:f>IF($A20="","",IFERROR(INDEX('📋 Banco de Dados'!C$1:C$31,$A20),""))</x:f>
      </x:c>
      <x:c r="E20" t="str">
        <x:f>IF($A20="","",IFERROR(INDEX('📋 Banco de Dados'!L$1:L$31,$A20),""))</x:f>
      </x:c>
      <x:c r="F20" t="str">
        <x:f>IF($A20="","",IFERROR(INDEX('📋 Banco de Dados'!R$1:R$31,$A20),""))</x:f>
      </x:c>
      <x:c r="G20" t="str">
        <x:f>IF($A20="","",IFERROR(INDEX('📋 Banco de Dados'!X$1:X$31,$A20),""))</x:f>
      </x:c>
      <x:c r="H20" t="str">
        <x:f>IF($A20="","",IFERROR(INDEX('📋 Banco de Dados'!Y$1:Y$31,$A20),""))</x:f>
      </x:c>
      <x:c r="I20" t="str">
        <x:f>IF($A20="","",IFERROR(INDEX('📋 Banco de Dados'!Z$1:Z$31,$A20),""))</x:f>
      </x:c>
      <x:c r="J20" t="str">
        <x:f>IF($A20="","",IFERROR(INDEX('📋 Banco de Dados'!AA$1:AA$31,$A20),""))</x:f>
      </x:c>
    </x:row>
    <x:row r="21">
      <x:c r="A21" t="str">
        <x:f>IF(COUNTA($C$3)=0,"",IFERROR(MATCH($C$3&amp;"|"&amp;B21,'📋 Banco de Dados'!$AC$2:$AC$31,0)+1,""))</x:f>
      </x:c>
      <x:c r="B21">
        <x:v>16</x:v>
      </x:c>
      <x:c r="C21" t="str">
        <x:f>IF($A21="","",IFERROR(INDEX('📋 Banco de Dados'!B$1:B$31,$A21),""))</x:f>
      </x:c>
      <x:c r="D21" t="str">
        <x:f>IF($A21="","",IFERROR(INDEX('📋 Banco de Dados'!C$1:C$31,$A21),""))</x:f>
      </x:c>
      <x:c r="E21" t="str">
        <x:f>IF($A21="","",IFERROR(INDEX('📋 Banco de Dados'!L$1:L$31,$A21),""))</x:f>
      </x:c>
      <x:c r="F21" t="str">
        <x:f>IF($A21="","",IFERROR(INDEX('📋 Banco de Dados'!R$1:R$31,$A21),""))</x:f>
      </x:c>
      <x:c r="G21" t="str">
        <x:f>IF($A21="","",IFERROR(INDEX('📋 Banco de Dados'!X$1:X$31,$A21),""))</x:f>
      </x:c>
      <x:c r="H21" t="str">
        <x:f>IF($A21="","",IFERROR(INDEX('📋 Banco de Dados'!Y$1:Y$31,$A21),""))</x:f>
      </x:c>
      <x:c r="I21" t="str">
        <x:f>IF($A21="","",IFERROR(INDEX('📋 Banco de Dados'!Z$1:Z$31,$A21),""))</x:f>
      </x:c>
      <x:c r="J21" t="str">
        <x:f>IF($A21="","",IFERROR(INDEX('📋 Banco de Dados'!AA$1:AA$31,$A21),""))</x:f>
      </x:c>
    </x:row>
    <x:row r="22">
      <x:c r="A22" t="str">
        <x:f>IF(COUNTA($C$3)=0,"",IFERROR(MATCH($C$3&amp;"|"&amp;B22,'📋 Banco de Dados'!$AC$2:$AC$31,0)+1,""))</x:f>
      </x:c>
      <x:c r="B22">
        <x:v>17</x:v>
      </x:c>
      <x:c r="C22" t="str">
        <x:f>IF($A22="","",IFERROR(INDEX('📋 Banco de Dados'!B$1:B$31,$A22),""))</x:f>
      </x:c>
      <x:c r="D22" t="str">
        <x:f>IF($A22="","",IFERROR(INDEX('📋 Banco de Dados'!C$1:C$31,$A22),""))</x:f>
      </x:c>
      <x:c r="E22" t="str">
        <x:f>IF($A22="","",IFERROR(INDEX('📋 Banco de Dados'!L$1:L$31,$A22),""))</x:f>
      </x:c>
      <x:c r="F22" t="str">
        <x:f>IF($A22="","",IFERROR(INDEX('📋 Banco de Dados'!R$1:R$31,$A22),""))</x:f>
      </x:c>
      <x:c r="G22" t="str">
        <x:f>IF($A22="","",IFERROR(INDEX('📋 Banco de Dados'!X$1:X$31,$A22),""))</x:f>
      </x:c>
      <x:c r="H22" t="str">
        <x:f>IF($A22="","",IFERROR(INDEX('📋 Banco de Dados'!Y$1:Y$31,$A22),""))</x:f>
      </x:c>
      <x:c r="I22" t="str">
        <x:f>IF($A22="","",IFERROR(INDEX('📋 Banco de Dados'!Z$1:Z$31,$A22),""))</x:f>
      </x:c>
      <x:c r="J22" t="str">
        <x:f>IF($A22="","",IFERROR(INDEX('📋 Banco de Dados'!AA$1:AA$31,$A22),""))</x:f>
      </x:c>
    </x:row>
    <x:row r="23">
      <x:c r="A23" t="str">
        <x:f>IF(COUNTA($C$3)=0,"",IFERROR(MATCH($C$3&amp;"|"&amp;B23,'📋 Banco de Dados'!$AC$2:$AC$31,0)+1,""))</x:f>
      </x:c>
      <x:c r="B23">
        <x:v>18</x:v>
      </x:c>
      <x:c r="C23" t="str">
        <x:f>IF($A23="","",IFERROR(INDEX('📋 Banco de Dados'!B$1:B$31,$A23),""))</x:f>
      </x:c>
      <x:c r="D23" t="str">
        <x:f>IF($A23="","",IFERROR(INDEX('📋 Banco de Dados'!C$1:C$31,$A23),""))</x:f>
      </x:c>
      <x:c r="E23" t="str">
        <x:f>IF($A23="","",IFERROR(INDEX('📋 Banco de Dados'!L$1:L$31,$A23),""))</x:f>
      </x:c>
      <x:c r="F23" t="str">
        <x:f>IF($A23="","",IFERROR(INDEX('📋 Banco de Dados'!R$1:R$31,$A23),""))</x:f>
      </x:c>
      <x:c r="G23" t="str">
        <x:f>IF($A23="","",IFERROR(INDEX('📋 Banco de Dados'!X$1:X$31,$A23),""))</x:f>
      </x:c>
      <x:c r="H23" t="str">
        <x:f>IF($A23="","",IFERROR(INDEX('📋 Banco de Dados'!Y$1:Y$31,$A23),""))</x:f>
      </x:c>
      <x:c r="I23" t="str">
        <x:f>IF($A23="","",IFERROR(INDEX('📋 Banco de Dados'!Z$1:Z$31,$A23),""))</x:f>
      </x:c>
      <x:c r="J23" t="str">
        <x:f>IF($A23="","",IFERROR(INDEX('📋 Banco de Dados'!AA$1:AA$31,$A23),""))</x:f>
      </x:c>
    </x:row>
    <x:row r="24">
      <x:c r="A24" t="str">
        <x:f>IF(COUNTA($C$3)=0,"",IFERROR(MATCH($C$3&amp;"|"&amp;B24,'📋 Banco de Dados'!$AC$2:$AC$31,0)+1,""))</x:f>
      </x:c>
      <x:c r="B24">
        <x:v>19</x:v>
      </x:c>
      <x:c r="C24" t="str">
        <x:f>IF($A24="","",IFERROR(INDEX('📋 Banco de Dados'!B$1:B$31,$A24),""))</x:f>
      </x:c>
      <x:c r="D24" t="str">
        <x:f>IF($A24="","",IFERROR(INDEX('📋 Banco de Dados'!C$1:C$31,$A24),""))</x:f>
      </x:c>
      <x:c r="E24" t="str">
        <x:f>IF($A24="","",IFERROR(INDEX('📋 Banco de Dados'!L$1:L$31,$A24),""))</x:f>
      </x:c>
      <x:c r="F24" t="str">
        <x:f>IF($A24="","",IFERROR(INDEX('📋 Banco de Dados'!R$1:R$31,$A24),""))</x:f>
      </x:c>
      <x:c r="G24" t="str">
        <x:f>IF($A24="","",IFERROR(INDEX('📋 Banco de Dados'!X$1:X$31,$A24),""))</x:f>
      </x:c>
      <x:c r="H24" t="str">
        <x:f>IF($A24="","",IFERROR(INDEX('📋 Banco de Dados'!Y$1:Y$31,$A24),""))</x:f>
      </x:c>
      <x:c r="I24" t="str">
        <x:f>IF($A24="","",IFERROR(INDEX('📋 Banco de Dados'!Z$1:Z$31,$A24),""))</x:f>
      </x:c>
      <x:c r="J24" t="str">
        <x:f>IF($A24="","",IFERROR(INDEX('📋 Banco de Dados'!AA$1:AA$31,$A24),""))</x:f>
      </x:c>
    </x:row>
    <x:row r="25">
      <x:c r="A25" t="str">
        <x:f>IF(COUNTA($C$3)=0,"",IFERROR(MATCH($C$3&amp;"|"&amp;B25,'📋 Banco de Dados'!$AC$2:$AC$31,0)+1,""))</x:f>
      </x:c>
      <x:c r="B25">
        <x:v>20</x:v>
      </x:c>
      <x:c r="C25" t="str">
        <x:f>IF($A25="","",IFERROR(INDEX('📋 Banco de Dados'!B$1:B$31,$A25),""))</x:f>
      </x:c>
      <x:c r="D25" t="str">
        <x:f>IF($A25="","",IFERROR(INDEX('📋 Banco de Dados'!C$1:C$31,$A25),""))</x:f>
      </x:c>
      <x:c r="E25" t="str">
        <x:f>IF($A25="","",IFERROR(INDEX('📋 Banco de Dados'!L$1:L$31,$A25),""))</x:f>
      </x:c>
      <x:c r="F25" t="str">
        <x:f>IF($A25="","",IFERROR(INDEX('📋 Banco de Dados'!R$1:R$31,$A25),""))</x:f>
      </x:c>
      <x:c r="G25" t="str">
        <x:f>IF($A25="","",IFERROR(INDEX('📋 Banco de Dados'!X$1:X$31,$A25),""))</x:f>
      </x:c>
      <x:c r="H25" t="str">
        <x:f>IF($A25="","",IFERROR(INDEX('📋 Banco de Dados'!Y$1:Y$31,$A25),""))</x:f>
      </x:c>
      <x:c r="I25" t="str">
        <x:f>IF($A25="","",IFERROR(INDEX('📋 Banco de Dados'!Z$1:Z$31,$A25),""))</x:f>
      </x:c>
      <x:c r="J25" t="str">
        <x:f>IF($A25="","",IFERROR(INDEX('📋 Banco de Dados'!AA$1:AA$31,$A25),""))</x:f>
      </x:c>
    </x:row>
    <x:row r="26">
      <x:c r="A26" t="str">
        <x:f>IF(COUNTA($C$3)=0,"",IFERROR(MATCH($C$3&amp;"|"&amp;B26,'📋 Banco de Dados'!$AC$2:$AC$31,0)+1,""))</x:f>
      </x:c>
      <x:c r="B26">
        <x:v>21</x:v>
      </x:c>
      <x:c r="C26" t="str">
        <x:f>IF($A26="","",IFERROR(INDEX('📋 Banco de Dados'!B$1:B$31,$A26),""))</x:f>
      </x:c>
      <x:c r="D26" t="str">
        <x:f>IF($A26="","",IFERROR(INDEX('📋 Banco de Dados'!C$1:C$31,$A26),""))</x:f>
      </x:c>
      <x:c r="E26" t="str">
        <x:f>IF($A26="","",IFERROR(INDEX('📋 Banco de Dados'!L$1:L$31,$A26),""))</x:f>
      </x:c>
      <x:c r="F26" t="str">
        <x:f>IF($A26="","",IFERROR(INDEX('📋 Banco de Dados'!R$1:R$31,$A26),""))</x:f>
      </x:c>
      <x:c r="G26" t="str">
        <x:f>IF($A26="","",IFERROR(INDEX('📋 Banco de Dados'!X$1:X$31,$A26),""))</x:f>
      </x:c>
      <x:c r="H26" t="str">
        <x:f>IF($A26="","",IFERROR(INDEX('📋 Banco de Dados'!Y$1:Y$31,$A26),""))</x:f>
      </x:c>
      <x:c r="I26" t="str">
        <x:f>IF($A26="","",IFERROR(INDEX('📋 Banco de Dados'!Z$1:Z$31,$A26),""))</x:f>
      </x:c>
      <x:c r="J26" t="str">
        <x:f>IF($A26="","",IFERROR(INDEX('📋 Banco de Dados'!AA$1:AA$31,$A26),""))</x:f>
      </x:c>
    </x:row>
    <x:row r="27">
      <x:c r="A27" t="str">
        <x:f>IF(COUNTA($C$3)=0,"",IFERROR(MATCH($C$3&amp;"|"&amp;B27,'📋 Banco de Dados'!$AC$2:$AC$31,0)+1,""))</x:f>
      </x:c>
      <x:c r="B27">
        <x:v>22</x:v>
      </x:c>
      <x:c r="C27" t="str">
        <x:f>IF($A27="","",IFERROR(INDEX('📋 Banco de Dados'!B$1:B$31,$A27),""))</x:f>
      </x:c>
      <x:c r="D27" t="str">
        <x:f>IF($A27="","",IFERROR(INDEX('📋 Banco de Dados'!C$1:C$31,$A27),""))</x:f>
      </x:c>
      <x:c r="E27" t="str">
        <x:f>IF($A27="","",IFERROR(INDEX('📋 Banco de Dados'!L$1:L$31,$A27),""))</x:f>
      </x:c>
      <x:c r="F27" t="str">
        <x:f>IF($A27="","",IFERROR(INDEX('📋 Banco de Dados'!R$1:R$31,$A27),""))</x:f>
      </x:c>
      <x:c r="G27" t="str">
        <x:f>IF($A27="","",IFERROR(INDEX('📋 Banco de Dados'!X$1:X$31,$A27),""))</x:f>
      </x:c>
      <x:c r="H27" t="str">
        <x:f>IF($A27="","",IFERROR(INDEX('📋 Banco de Dados'!Y$1:Y$31,$A27),""))</x:f>
      </x:c>
      <x:c r="I27" t="str">
        <x:f>IF($A27="","",IFERROR(INDEX('📋 Banco de Dados'!Z$1:Z$31,$A27),""))</x:f>
      </x:c>
      <x:c r="J27" t="str">
        <x:f>IF($A27="","",IFERROR(INDEX('📋 Banco de Dados'!AA$1:AA$31,$A27),""))</x:f>
      </x:c>
    </x:row>
    <x:row r="28">
      <x:c r="A28" t="str">
        <x:f>IF(COUNTA($C$3)=0,"",IFERROR(MATCH($C$3&amp;"|"&amp;B28,'📋 Banco de Dados'!$AC$2:$AC$31,0)+1,""))</x:f>
      </x:c>
      <x:c r="B28">
        <x:v>23</x:v>
      </x:c>
      <x:c r="C28" t="str">
        <x:f>IF($A28="","",IFERROR(INDEX('📋 Banco de Dados'!B$1:B$31,$A28),""))</x:f>
      </x:c>
      <x:c r="D28" t="str">
        <x:f>IF($A28="","",IFERROR(INDEX('📋 Banco de Dados'!C$1:C$31,$A28),""))</x:f>
      </x:c>
      <x:c r="E28" t="str">
        <x:f>IF($A28="","",IFERROR(INDEX('📋 Banco de Dados'!L$1:L$31,$A28),""))</x:f>
      </x:c>
      <x:c r="F28" t="str">
        <x:f>IF($A28="","",IFERROR(INDEX('📋 Banco de Dados'!R$1:R$31,$A28),""))</x:f>
      </x:c>
      <x:c r="G28" t="str">
        <x:f>IF($A28="","",IFERROR(INDEX('📋 Banco de Dados'!X$1:X$31,$A28),""))</x:f>
      </x:c>
      <x:c r="H28" t="str">
        <x:f>IF($A28="","",IFERROR(INDEX('📋 Banco de Dados'!Y$1:Y$31,$A28),""))</x:f>
      </x:c>
      <x:c r="I28" t="str">
        <x:f>IF($A28="","",IFERROR(INDEX('📋 Banco de Dados'!Z$1:Z$31,$A28),""))</x:f>
      </x:c>
      <x:c r="J28" t="str">
        <x:f>IF($A28="","",IFERROR(INDEX('📋 Banco de Dados'!AA$1:AA$31,$A28),""))</x:f>
      </x:c>
    </x:row>
    <x:row r="29">
      <x:c r="A29" t="str">
        <x:f>IF(COUNTA($C$3)=0,"",IFERROR(MATCH($C$3&amp;"|"&amp;B29,'📋 Banco de Dados'!$AC$2:$AC$31,0)+1,""))</x:f>
      </x:c>
      <x:c r="B29">
        <x:v>24</x:v>
      </x:c>
      <x:c r="C29" t="str">
        <x:f>IF($A29="","",IFERROR(INDEX('📋 Banco de Dados'!B$1:B$31,$A29),""))</x:f>
      </x:c>
      <x:c r="D29" t="str">
        <x:f>IF($A29="","",IFERROR(INDEX('📋 Banco de Dados'!C$1:C$31,$A29),""))</x:f>
      </x:c>
      <x:c r="E29" t="str">
        <x:f>IF($A29="","",IFERROR(INDEX('📋 Banco de Dados'!L$1:L$31,$A29),""))</x:f>
      </x:c>
      <x:c r="F29" t="str">
        <x:f>IF($A29="","",IFERROR(INDEX('📋 Banco de Dados'!R$1:R$31,$A29),""))</x:f>
      </x:c>
      <x:c r="G29" t="str">
        <x:f>IF($A29="","",IFERROR(INDEX('📋 Banco de Dados'!X$1:X$31,$A29),""))</x:f>
      </x:c>
      <x:c r="H29" t="str">
        <x:f>IF($A29="","",IFERROR(INDEX('📋 Banco de Dados'!Y$1:Y$31,$A29),""))</x:f>
      </x:c>
      <x:c r="I29" t="str">
        <x:f>IF($A29="","",IFERROR(INDEX('📋 Banco de Dados'!Z$1:Z$31,$A29),""))</x:f>
      </x:c>
      <x:c r="J29" t="str">
        <x:f>IF($A29="","",IFERROR(INDEX('📋 Banco de Dados'!AA$1:AA$31,$A29),""))</x:f>
      </x:c>
    </x:row>
    <x:row r="30">
      <x:c r="A30" t="str">
        <x:f>IF(COUNTA($C$3)=0,"",IFERROR(MATCH($C$3&amp;"|"&amp;B30,'📋 Banco de Dados'!$AC$2:$AC$31,0)+1,""))</x:f>
      </x:c>
      <x:c r="B30">
        <x:v>25</x:v>
      </x:c>
      <x:c r="C30" t="str">
        <x:f>IF($A30="","",IFERROR(INDEX('📋 Banco de Dados'!B$1:B$31,$A30),""))</x:f>
      </x:c>
      <x:c r="D30" t="str">
        <x:f>IF($A30="","",IFERROR(INDEX('📋 Banco de Dados'!C$1:C$31,$A30),""))</x:f>
      </x:c>
      <x:c r="E30" t="str">
        <x:f>IF($A30="","",IFERROR(INDEX('📋 Banco de Dados'!L$1:L$31,$A30),""))</x:f>
      </x:c>
      <x:c r="F30" t="str">
        <x:f>IF($A30="","",IFERROR(INDEX('📋 Banco de Dados'!R$1:R$31,$A30),""))</x:f>
      </x:c>
      <x:c r="G30" t="str">
        <x:f>IF($A30="","",IFERROR(INDEX('📋 Banco de Dados'!X$1:X$31,$A30),""))</x:f>
      </x:c>
      <x:c r="H30" t="str">
        <x:f>IF($A30="","",IFERROR(INDEX('📋 Banco de Dados'!Y$1:Y$31,$A30),""))</x:f>
      </x:c>
      <x:c r="I30" t="str">
        <x:f>IF($A30="","",IFERROR(INDEX('📋 Banco de Dados'!Z$1:Z$31,$A30),""))</x:f>
      </x:c>
      <x:c r="J30" t="str">
        <x:f>IF($A30="","",IFERROR(INDEX('📋 Banco de Dados'!AA$1:AA$31,$A30),""))</x:f>
      </x:c>
    </x:row>
    <x:row r="31">
      <x:c r="A31" t="str">
        <x:f>IF(COUNTA($C$3)=0,"",IFERROR(MATCH($C$3&amp;"|"&amp;B31,'📋 Banco de Dados'!$AC$2:$AC$31,0)+1,""))</x:f>
      </x:c>
      <x:c r="B31">
        <x:v>26</x:v>
      </x:c>
      <x:c r="C31" t="str">
        <x:f>IF($A31="","",IFERROR(INDEX('📋 Banco de Dados'!B$1:B$31,$A31),""))</x:f>
      </x:c>
      <x:c r="D31" t="str">
        <x:f>IF($A31="","",IFERROR(INDEX('📋 Banco de Dados'!C$1:C$31,$A31),""))</x:f>
      </x:c>
      <x:c r="E31" t="str">
        <x:f>IF($A31="","",IFERROR(INDEX('📋 Banco de Dados'!L$1:L$31,$A31),""))</x:f>
      </x:c>
      <x:c r="F31" t="str">
        <x:f>IF($A31="","",IFERROR(INDEX('📋 Banco de Dados'!R$1:R$31,$A31),""))</x:f>
      </x:c>
      <x:c r="G31" t="str">
        <x:f>IF($A31="","",IFERROR(INDEX('📋 Banco de Dados'!X$1:X$31,$A31),""))</x:f>
      </x:c>
      <x:c r="H31" t="str">
        <x:f>IF($A31="","",IFERROR(INDEX('📋 Banco de Dados'!Y$1:Y$31,$A31),""))</x:f>
      </x:c>
      <x:c r="I31" t="str">
        <x:f>IF($A31="","",IFERROR(INDEX('📋 Banco de Dados'!Z$1:Z$31,$A31),""))</x:f>
      </x:c>
      <x:c r="J31" t="str">
        <x:f>IF($A31="","",IFERROR(INDEX('📋 Banco de Dados'!AA$1:AA$31,$A31),""))</x:f>
      </x:c>
    </x:row>
    <x:row r="32">
      <x:c r="A32" t="str">
        <x:f>IF(COUNTA($C$3)=0,"",IFERROR(MATCH($C$3&amp;"|"&amp;B32,'📋 Banco de Dados'!$AC$2:$AC$31,0)+1,""))</x:f>
      </x:c>
      <x:c r="B32">
        <x:v>27</x:v>
      </x:c>
      <x:c r="C32" t="str">
        <x:f>IF($A32="","",IFERROR(INDEX('📋 Banco de Dados'!B$1:B$31,$A32),""))</x:f>
      </x:c>
      <x:c r="D32" t="str">
        <x:f>IF($A32="","",IFERROR(INDEX('📋 Banco de Dados'!C$1:C$31,$A32),""))</x:f>
      </x:c>
      <x:c r="E32" t="str">
        <x:f>IF($A32="","",IFERROR(INDEX('📋 Banco de Dados'!L$1:L$31,$A32),""))</x:f>
      </x:c>
      <x:c r="F32" t="str">
        <x:f>IF($A32="","",IFERROR(INDEX('📋 Banco de Dados'!R$1:R$31,$A32),""))</x:f>
      </x:c>
      <x:c r="G32" t="str">
        <x:f>IF($A32="","",IFERROR(INDEX('📋 Banco de Dados'!X$1:X$31,$A32),""))</x:f>
      </x:c>
      <x:c r="H32" t="str">
        <x:f>IF($A32="","",IFERROR(INDEX('📋 Banco de Dados'!Y$1:Y$31,$A32),""))</x:f>
      </x:c>
      <x:c r="I32" t="str">
        <x:f>IF($A32="","",IFERROR(INDEX('📋 Banco de Dados'!Z$1:Z$31,$A32),""))</x:f>
      </x:c>
      <x:c r="J32" t="str">
        <x:f>IF($A32="","",IFERROR(INDEX('📋 Banco de Dados'!AA$1:AA$31,$A32),""))</x:f>
      </x:c>
    </x:row>
    <x:row r="33">
      <x:c r="A33" t="str">
        <x:f>IF(COUNTA($C$3)=0,"",IFERROR(MATCH($C$3&amp;"|"&amp;B33,'📋 Banco de Dados'!$AC$2:$AC$31,0)+1,""))</x:f>
      </x:c>
      <x:c r="B33">
        <x:v>28</x:v>
      </x:c>
      <x:c r="C33" t="str">
        <x:f>IF($A33="","",IFERROR(INDEX('📋 Banco de Dados'!B$1:B$31,$A33),""))</x:f>
      </x:c>
      <x:c r="D33" t="str">
        <x:f>IF($A33="","",IFERROR(INDEX('📋 Banco de Dados'!C$1:C$31,$A33),""))</x:f>
      </x:c>
      <x:c r="E33" t="str">
        <x:f>IF($A33="","",IFERROR(INDEX('📋 Banco de Dados'!L$1:L$31,$A33),""))</x:f>
      </x:c>
      <x:c r="F33" t="str">
        <x:f>IF($A33="","",IFERROR(INDEX('📋 Banco de Dados'!R$1:R$31,$A33),""))</x:f>
      </x:c>
      <x:c r="G33" t="str">
        <x:f>IF($A33="","",IFERROR(INDEX('📋 Banco de Dados'!X$1:X$31,$A33),""))</x:f>
      </x:c>
      <x:c r="H33" t="str">
        <x:f>IF($A33="","",IFERROR(INDEX('📋 Banco de Dados'!Y$1:Y$31,$A33),""))</x:f>
      </x:c>
      <x:c r="I33" t="str">
        <x:f>IF($A33="","",IFERROR(INDEX('📋 Banco de Dados'!Z$1:Z$31,$A33),""))</x:f>
      </x:c>
      <x:c r="J33" t="str">
        <x:f>IF($A33="","",IFERROR(INDEX('📋 Banco de Dados'!AA$1:AA$31,$A33),""))</x:f>
      </x:c>
    </x:row>
    <x:row r="34">
      <x:c r="A34" t="str">
        <x:f>IF(COUNTA($C$3)=0,"",IFERROR(MATCH($C$3&amp;"|"&amp;B34,'📋 Banco de Dados'!$AC$2:$AC$31,0)+1,""))</x:f>
      </x:c>
      <x:c r="B34">
        <x:v>29</x:v>
      </x:c>
      <x:c r="C34" t="str">
        <x:f>IF($A34="","",IFERROR(INDEX('📋 Banco de Dados'!B$1:B$31,$A34),""))</x:f>
      </x:c>
      <x:c r="D34" t="str">
        <x:f>IF($A34="","",IFERROR(INDEX('📋 Banco de Dados'!C$1:C$31,$A34),""))</x:f>
      </x:c>
      <x:c r="E34" t="str">
        <x:f>IF($A34="","",IFERROR(INDEX('📋 Banco de Dados'!L$1:L$31,$A34),""))</x:f>
      </x:c>
      <x:c r="F34" t="str">
        <x:f>IF($A34="","",IFERROR(INDEX('📋 Banco de Dados'!R$1:R$31,$A34),""))</x:f>
      </x:c>
      <x:c r="G34" t="str">
        <x:f>IF($A34="","",IFERROR(INDEX('📋 Banco de Dados'!X$1:X$31,$A34),""))</x:f>
      </x:c>
      <x:c r="H34" t="str">
        <x:f>IF($A34="","",IFERROR(INDEX('📋 Banco de Dados'!Y$1:Y$31,$A34),""))</x:f>
      </x:c>
      <x:c r="I34" t="str">
        <x:f>IF($A34="","",IFERROR(INDEX('📋 Banco de Dados'!Z$1:Z$31,$A34),""))</x:f>
      </x:c>
      <x:c r="J34" t="str">
        <x:f>IF($A34="","",IFERROR(INDEX('📋 Banco de Dados'!AA$1:AA$31,$A34),""))</x:f>
      </x:c>
    </x:row>
    <x:row r="35">
      <x:c r="A35" t="str">
        <x:f>IF(COUNTA($C$3)=0,"",IFERROR(MATCH($C$3&amp;"|"&amp;B35,'📋 Banco de Dados'!$AC$2:$AC$31,0)+1,""))</x:f>
      </x:c>
      <x:c r="B35">
        <x:v>30</x:v>
      </x:c>
      <x:c r="C35" t="str">
        <x:f>IF($A35="","",IFERROR(INDEX('📋 Banco de Dados'!B$1:B$31,$A35),""))</x:f>
      </x:c>
      <x:c r="D35" t="str">
        <x:f>IF($A35="","",IFERROR(INDEX('📋 Banco de Dados'!C$1:C$31,$A35),""))</x:f>
      </x:c>
      <x:c r="E35" t="str">
        <x:f>IF($A35="","",IFERROR(INDEX('📋 Banco de Dados'!L$1:L$31,$A35),""))</x:f>
      </x:c>
      <x:c r="F35" t="str">
        <x:f>IF($A35="","",IFERROR(INDEX('📋 Banco de Dados'!R$1:R$31,$A35),""))</x:f>
      </x:c>
      <x:c r="G35" t="str">
        <x:f>IF($A35="","",IFERROR(INDEX('📋 Banco de Dados'!X$1:X$31,$A35),""))</x:f>
      </x:c>
      <x:c r="H35" t="str">
        <x:f>IF($A35="","",IFERROR(INDEX('📋 Banco de Dados'!Y$1:Y$31,$A35),""))</x:f>
      </x:c>
      <x:c r="I35" t="str">
        <x:f>IF($A35="","",IFERROR(INDEX('📋 Banco de Dados'!Z$1:Z$31,$A35),""))</x:f>
      </x:c>
      <x:c r="J35" t="str">
        <x:f>IF($A35="","",IFERROR(INDEX('📋 Banco de Dados'!AA$1:AA$31,$A35),""))</x:f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83203125" defaultRowHeight="15"/>
  <x:sheetData>
    <x:row r="1" ht="19" customHeight="1">
      <x:c r="B1" s="141" t="s">
        <x:v>495</x:v>
      </x:c>
    </x:row>
    <x:row r="3">
      <x:c r="B3" s="142" t="s">
        <x:v>496</x:v>
      </x:c>
      <x:c r="C3" s="143" t="str">
        <x:f>IFERROR('📈 Evolução Paciente'!C3,"")</x:f>
      </x:c>
    </x:row>
    <x:row r="4">
      <x:c r="B4" t="s">
        <x:v>497</x:v>
      </x:c>
    </x:row>
  </x:sheetData>
  <x:pageMargins left="0.7" right="0.7" top="0.75" bottom="0.75" header="0.3" footer="0.3"/>
  <x:drawing xmlns:r="http://schemas.openxmlformats.org/officeDocument/2006/relationships" r:id="R272048319dfc4442"/>
</x:worksheet>
</file>